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riam Briskman\OneDrive\Desktop\Brooklyn College\Spring 2022\Teaching\CISC 1050\Lecture Notes\Weeks 9-11 Microsoft Excel\Advanced\"/>
    </mc:Choice>
  </mc:AlternateContent>
  <xr:revisionPtr revIDLastSave="0" documentId="13_ncr:1_{5859EC5D-AF6E-4C2A-B942-32A413588AF1}" xr6:coauthVersionLast="47" xr6:coauthVersionMax="47" xr10:uidLastSave="{00000000-0000-0000-0000-000000000000}"/>
  <bookViews>
    <workbookView xWindow="-110" yWindow="-110" windowWidth="19420" windowHeight="10420" xr2:uid="{B5C1C110-651B-4ACB-8927-5D267DF3D11C}"/>
  </bookViews>
  <sheets>
    <sheet name="V+H LOOKUP" sheetId="1" r:id="rId1"/>
    <sheet name="MATCH+INDEX" sheetId="2" r:id="rId2"/>
    <sheet name="COLUMN+ROW" sheetId="3" r:id="rId3"/>
    <sheet name="Nested IF" sheetId="4" r:id="rId4"/>
    <sheet name="AND+OR" sheetId="5" r:id="rId5"/>
    <sheet name="IFERROR" sheetId="6" r:id="rId6"/>
    <sheet name="PM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3" l="1"/>
  <c r="J12" i="7"/>
  <c r="J6" i="7"/>
  <c r="J7" i="7"/>
  <c r="J8" i="7"/>
  <c r="J9" i="7"/>
  <c r="J10" i="7"/>
  <c r="J11" i="7"/>
  <c r="J5" i="7"/>
  <c r="M4" i="2"/>
  <c r="Q10" i="6"/>
  <c r="Q7" i="6"/>
  <c r="M10" i="6"/>
  <c r="M7" i="6"/>
  <c r="I10" i="6"/>
  <c r="I7" i="6"/>
  <c r="E10" i="6"/>
  <c r="E7" i="6"/>
  <c r="R14" i="5"/>
  <c r="R13" i="5"/>
  <c r="R12" i="5"/>
  <c r="R11" i="5"/>
  <c r="R10" i="5"/>
  <c r="R9" i="5"/>
  <c r="I14" i="5"/>
  <c r="I13" i="5"/>
  <c r="I12" i="5"/>
  <c r="I11" i="5"/>
  <c r="I10" i="5"/>
  <c r="I9" i="5"/>
  <c r="E5" i="4"/>
  <c r="L14" i="4"/>
  <c r="S11" i="4"/>
  <c r="J11" i="4"/>
  <c r="O8" i="4"/>
  <c r="H8" i="4"/>
  <c r="Q5" i="4"/>
  <c r="M5" i="4"/>
  <c r="I5" i="4"/>
  <c r="H13" i="3"/>
  <c r="H12" i="3"/>
  <c r="H11" i="3"/>
  <c r="D13" i="3"/>
  <c r="D12" i="3"/>
  <c r="D11" i="3"/>
  <c r="H6" i="3"/>
  <c r="H5" i="3"/>
  <c r="D6" i="3"/>
  <c r="D5" i="3"/>
  <c r="D4" i="3"/>
  <c r="M15" i="2"/>
  <c r="M14" i="2"/>
  <c r="M13" i="2"/>
  <c r="M8" i="2"/>
  <c r="M7" i="2"/>
  <c r="M6" i="2"/>
  <c r="M5" i="2"/>
  <c r="M14" i="1"/>
  <c r="M13" i="1"/>
  <c r="M12" i="1"/>
  <c r="M11" i="1"/>
  <c r="J14" i="1"/>
  <c r="J13" i="1"/>
  <c r="J12" i="1"/>
  <c r="J11" i="1"/>
  <c r="B5" i="5"/>
  <c r="E5" i="5" s="1"/>
  <c r="N5" i="5"/>
  <c r="Q5" i="5" s="1"/>
  <c r="J5" i="5"/>
  <c r="F5" i="5"/>
  <c r="I5" i="5" s="1"/>
  <c r="M5" i="5"/>
</calcChain>
</file>

<file path=xl/sharedStrings.xml><?xml version="1.0" encoding="utf-8"?>
<sst xmlns="http://schemas.openxmlformats.org/spreadsheetml/2006/main" count="158" uniqueCount="112">
  <si>
    <t>F</t>
  </si>
  <si>
    <t>D-</t>
  </si>
  <si>
    <t>D</t>
  </si>
  <si>
    <t>D+</t>
  </si>
  <si>
    <t>C-</t>
  </si>
  <si>
    <t>C</t>
  </si>
  <si>
    <t>C+</t>
  </si>
  <si>
    <t>B-</t>
  </si>
  <si>
    <t>B</t>
  </si>
  <si>
    <t>B+</t>
  </si>
  <si>
    <t>A-</t>
  </si>
  <si>
    <t>A</t>
  </si>
  <si>
    <t>A+</t>
  </si>
  <si>
    <t>ID1</t>
  </si>
  <si>
    <t>Apple</t>
  </si>
  <si>
    <t>ID2</t>
  </si>
  <si>
    <t>Microsoft</t>
  </si>
  <si>
    <t>ID3</t>
  </si>
  <si>
    <t>Samsung</t>
  </si>
  <si>
    <t>ID4</t>
  </si>
  <si>
    <t>Facebook</t>
  </si>
  <si>
    <t>ID5</t>
  </si>
  <si>
    <t>CUNY</t>
  </si>
  <si>
    <t>VLOOKUP</t>
  </si>
  <si>
    <t>HLOOKUP</t>
  </si>
  <si>
    <r>
      <rPr>
        <sz val="14"/>
        <color theme="1"/>
        <rFont val="Symbol"/>
        <family val="1"/>
        <charset val="2"/>
      </rPr>
      <t>­</t>
    </r>
    <r>
      <rPr>
        <sz val="14"/>
        <color theme="1"/>
        <rFont val="Calibri"/>
        <family val="2"/>
      </rPr>
      <t xml:space="preserve">
</t>
    </r>
    <r>
      <rPr>
        <sz val="12"/>
        <color theme="1"/>
        <rFont val="Calibri"/>
        <family val="2"/>
      </rPr>
      <t>1st Column</t>
    </r>
  </si>
  <si>
    <r>
      <rPr>
        <sz val="14"/>
        <color theme="1"/>
        <rFont val="Symbol"/>
        <family val="1"/>
        <charset val="2"/>
      </rPr>
      <t>­</t>
    </r>
    <r>
      <rPr>
        <sz val="14"/>
        <color theme="1"/>
        <rFont val="Calibri"/>
        <family val="2"/>
      </rPr>
      <t xml:space="preserve">
</t>
    </r>
    <r>
      <rPr>
        <sz val="12"/>
        <color theme="1"/>
        <rFont val="Calibri"/>
        <family val="2"/>
      </rPr>
      <t>2nd Column</t>
    </r>
  </si>
  <si>
    <r>
      <t xml:space="preserve">Using </t>
    </r>
    <r>
      <rPr>
        <sz val="14"/>
        <color theme="1"/>
        <rFont val="Courier New"/>
        <family val="3"/>
      </rPr>
      <t>LOOKUP</t>
    </r>
    <r>
      <rPr>
        <sz val="14"/>
        <color theme="1"/>
        <rFont val="Calibri"/>
        <family val="2"/>
        <scheme val="minor"/>
      </rPr>
      <t xml:space="preserve"> functions, find what is the:</t>
    </r>
  </si>
  <si>
    <t>Company with ID1?</t>
  </si>
  <si>
    <t>Company with ID4?</t>
  </si>
  <si>
    <t>Letter grade for 87?</t>
  </si>
  <si>
    <t>Letter grade for 92?</t>
  </si>
  <si>
    <t>Google</t>
  </si>
  <si>
    <t>Nokia</t>
  </si>
  <si>
    <t>Paypal</t>
  </si>
  <si>
    <t>Revenue (in billions)</t>
  </si>
  <si>
    <r>
      <t xml:space="preserve">Using the </t>
    </r>
    <r>
      <rPr>
        <sz val="14"/>
        <color theme="1"/>
        <rFont val="Courier New"/>
        <family val="3"/>
      </rPr>
      <t>MATCH</t>
    </r>
    <r>
      <rPr>
        <sz val="14"/>
        <color theme="1"/>
        <rFont val="Calibri"/>
        <family val="2"/>
        <scheme val="minor"/>
      </rPr>
      <t xml:space="preserve"> function, find the position of:</t>
    </r>
  </si>
  <si>
    <r>
      <t xml:space="preserve">Using the </t>
    </r>
    <r>
      <rPr>
        <sz val="14"/>
        <color theme="1"/>
        <rFont val="Courier New"/>
        <family val="3"/>
      </rPr>
      <t>INDEX</t>
    </r>
    <r>
      <rPr>
        <sz val="14"/>
        <color theme="1"/>
        <rFont val="Calibri"/>
        <family val="2"/>
        <scheme val="minor"/>
      </rPr>
      <t xml:space="preserve"> function, find the value at:</t>
    </r>
  </si>
  <si>
    <t>Amazon</t>
  </si>
  <si>
    <r>
      <rPr>
        <sz val="14"/>
        <color theme="1"/>
        <rFont val="Symbol"/>
        <family val="1"/>
        <charset val="2"/>
      </rPr>
      <t>¬</t>
    </r>
    <r>
      <rPr>
        <sz val="14"/>
        <color theme="1"/>
        <rFont val="Calibri"/>
        <family val="2"/>
      </rPr>
      <t xml:space="preserve"> </t>
    </r>
    <r>
      <rPr>
        <sz val="12"/>
        <color theme="1"/>
        <rFont val="Calibri"/>
        <family val="2"/>
      </rPr>
      <t>1st Row</t>
    </r>
  </si>
  <si>
    <r>
      <rPr>
        <sz val="14"/>
        <color theme="1"/>
        <rFont val="Symbol"/>
        <family val="1"/>
        <charset val="2"/>
      </rPr>
      <t>¬</t>
    </r>
    <r>
      <rPr>
        <sz val="14"/>
        <color theme="1"/>
        <rFont val="Calibri"/>
        <family val="2"/>
      </rPr>
      <t xml:space="preserve"> </t>
    </r>
    <r>
      <rPr>
        <sz val="12"/>
        <color theme="1"/>
        <rFont val="Calibri"/>
        <family val="2"/>
      </rPr>
      <t>2nd Row</t>
    </r>
  </si>
  <si>
    <r>
      <t xml:space="preserve"> in the range </t>
    </r>
    <r>
      <rPr>
        <sz val="14"/>
        <color theme="1"/>
        <rFont val="Courier New"/>
        <family val="3"/>
      </rPr>
      <t>B4:B11</t>
    </r>
  </si>
  <si>
    <r>
      <t xml:space="preserve"> in the range </t>
    </r>
    <r>
      <rPr>
        <sz val="14"/>
        <color theme="1"/>
        <rFont val="Courier New"/>
        <family val="3"/>
      </rPr>
      <t>B4:B11</t>
    </r>
    <r>
      <rPr>
        <sz val="14"/>
        <color theme="1"/>
        <rFont val="Calibri"/>
        <family val="2"/>
        <scheme val="minor"/>
      </rPr>
      <t xml:space="preserve"> (tricky)</t>
    </r>
  </si>
  <si>
    <r>
      <rPr>
        <sz val="14"/>
        <color theme="1"/>
        <rFont val="Calibri"/>
        <family val="2"/>
        <scheme val="minor"/>
      </rPr>
      <t xml:space="preserve"> in the range </t>
    </r>
    <r>
      <rPr>
        <sz val="14"/>
        <color theme="1"/>
        <rFont val="Courier New"/>
        <family val="3"/>
      </rPr>
      <t>C3:F3</t>
    </r>
  </si>
  <si>
    <r>
      <t xml:space="preserve"> in the range </t>
    </r>
    <r>
      <rPr>
        <sz val="14"/>
        <color theme="1"/>
        <rFont val="Courier New"/>
        <family val="3"/>
      </rPr>
      <t>C3:F3</t>
    </r>
  </si>
  <si>
    <t>Row</t>
  </si>
  <si>
    <t>Column</t>
  </si>
  <si>
    <t xml:space="preserve"> of the $$$ data</t>
  </si>
  <si>
    <r>
      <t xml:space="preserve">Using the </t>
    </r>
    <r>
      <rPr>
        <sz val="14"/>
        <color theme="1"/>
        <rFont val="Courier New"/>
        <family val="3"/>
      </rPr>
      <t>COLUMN</t>
    </r>
    <r>
      <rPr>
        <sz val="14"/>
        <color theme="1"/>
        <rFont val="Calibri"/>
        <family val="2"/>
        <scheme val="minor"/>
      </rPr>
      <t xml:space="preserve"> function, find the column number of:</t>
    </r>
  </si>
  <si>
    <t>C15</t>
  </si>
  <si>
    <t>L23</t>
  </si>
  <si>
    <t>ND453</t>
  </si>
  <si>
    <t>R4</t>
  </si>
  <si>
    <t>O9</t>
  </si>
  <si>
    <t>AAA1</t>
  </si>
  <si>
    <r>
      <t xml:space="preserve">Using the </t>
    </r>
    <r>
      <rPr>
        <sz val="14"/>
        <color theme="1"/>
        <rFont val="Courier New"/>
        <family val="3"/>
      </rPr>
      <t>ROW</t>
    </r>
    <r>
      <rPr>
        <sz val="14"/>
        <color theme="1"/>
        <rFont val="Calibri"/>
        <family val="2"/>
        <scheme val="minor"/>
      </rPr>
      <t xml:space="preserve"> function, find the row number of:</t>
    </r>
  </si>
  <si>
    <r>
      <t xml:space="preserve">Is </t>
    </r>
    <r>
      <rPr>
        <sz val="14"/>
        <color theme="1"/>
        <rFont val="Courier New"/>
        <family val="3"/>
      </rPr>
      <t>5&gt;6</t>
    </r>
    <r>
      <rPr>
        <sz val="14"/>
        <color theme="1"/>
        <rFont val="Calibri"/>
        <family val="2"/>
        <scheme val="minor"/>
      </rPr>
      <t xml:space="preserve"> true or false?</t>
    </r>
  </si>
  <si>
    <t>=5&gt;6</t>
  </si>
  <si>
    <r>
      <t xml:space="preserve">What will </t>
    </r>
    <r>
      <rPr>
        <sz val="14"/>
        <color theme="1"/>
        <rFont val="Courier New"/>
        <family val="3"/>
      </rPr>
      <t>=IF(5&gt;6,"A","B")</t>
    </r>
    <r>
      <rPr>
        <sz val="14"/>
        <color theme="1"/>
        <rFont val="Calibri"/>
        <family val="2"/>
        <scheme val="minor"/>
      </rPr>
      <t xml:space="preserve"> return?</t>
    </r>
  </si>
  <si>
    <t>=IF(5&gt;6,"A","B")</t>
  </si>
  <si>
    <r>
      <t xml:space="preserve">Is </t>
    </r>
    <r>
      <rPr>
        <sz val="14"/>
        <color theme="1"/>
        <rFont val="Courier New"/>
        <family val="3"/>
      </rPr>
      <t>-2&lt;1</t>
    </r>
    <r>
      <rPr>
        <sz val="14"/>
        <color theme="1"/>
        <rFont val="Calibri"/>
        <family val="2"/>
        <scheme val="minor"/>
      </rPr>
      <t xml:space="preserve"> true or false?</t>
    </r>
  </si>
  <si>
    <t>=-2&lt;1</t>
  </si>
  <si>
    <r>
      <t xml:space="preserve">Is </t>
    </r>
    <r>
      <rPr>
        <sz val="14"/>
        <color theme="1"/>
        <rFont val="Courier New"/>
        <family val="3"/>
      </rPr>
      <t>6&lt;&gt;8</t>
    </r>
    <r>
      <rPr>
        <sz val="14"/>
        <color theme="1"/>
        <rFont val="Calibri"/>
        <family val="2"/>
        <scheme val="minor"/>
      </rPr>
      <t xml:space="preserve"> true or false?</t>
    </r>
  </si>
  <si>
    <t>=6&lt;&gt;8</t>
  </si>
  <si>
    <t>=3&lt;=0</t>
  </si>
  <si>
    <t>=IF(-2&lt;1,"C","D")</t>
  </si>
  <si>
    <r>
      <t xml:space="preserve">The following exercises let you figure out how nested </t>
    </r>
    <r>
      <rPr>
        <sz val="14"/>
        <color theme="1"/>
        <rFont val="Courier New"/>
        <family val="3"/>
      </rPr>
      <t>IF</t>
    </r>
    <r>
      <rPr>
        <sz val="14"/>
        <color theme="1"/>
        <rFont val="Calibri"/>
        <family val="2"/>
        <scheme val="minor"/>
      </rPr>
      <t xml:space="preserve"> functions work by gradually dividing such </t>
    </r>
    <r>
      <rPr>
        <sz val="14"/>
        <color theme="1"/>
        <rFont val="Courier New"/>
        <family val="3"/>
      </rPr>
      <t>IF</t>
    </r>
    <r>
      <rPr>
        <sz val="14"/>
        <color theme="1"/>
        <rFont val="Calibri"/>
        <family val="2"/>
        <scheme val="minor"/>
      </rPr>
      <t xml:space="preserve"> functions into simpler parts:</t>
    </r>
  </si>
  <si>
    <r>
      <t xml:space="preserve">What will </t>
    </r>
    <r>
      <rPr>
        <sz val="14"/>
        <color theme="1"/>
        <rFont val="Courier New"/>
        <family val="3"/>
      </rPr>
      <t>=IF(-2&lt;1,"C","D")</t>
    </r>
    <r>
      <rPr>
        <sz val="14"/>
        <color theme="1"/>
        <rFont val="Calibri"/>
        <family val="2"/>
        <scheme val="minor"/>
      </rPr>
      <t xml:space="preserve"> return?</t>
    </r>
  </si>
  <si>
    <r>
      <t xml:space="preserve">What will </t>
    </r>
    <r>
      <rPr>
        <sz val="14"/>
        <color theme="1"/>
        <rFont val="Courier New"/>
        <family val="3"/>
      </rPr>
      <t>=IF(6&lt;&gt;8,IF(5&gt;6,"A","B"),"E")</t>
    </r>
    <r>
      <rPr>
        <sz val="14"/>
        <color theme="1"/>
        <rFont val="Calibri"/>
        <family val="2"/>
        <scheme val="minor"/>
      </rPr>
      <t xml:space="preserve"> return?</t>
    </r>
  </si>
  <si>
    <t>=IF(6&lt;&gt;8,IF(5&gt;6,"A","B"),"E")</t>
  </si>
  <si>
    <r>
      <t xml:space="preserve">Is </t>
    </r>
    <r>
      <rPr>
        <sz val="14"/>
        <color theme="1"/>
        <rFont val="Courier New"/>
        <family val="3"/>
      </rPr>
      <t>3&lt;=0</t>
    </r>
    <r>
      <rPr>
        <sz val="14"/>
        <color theme="1"/>
        <rFont val="Calibri"/>
        <family val="2"/>
        <scheme val="minor"/>
      </rPr>
      <t xml:space="preserve"> true or false?</t>
    </r>
  </si>
  <si>
    <r>
      <t xml:space="preserve">What will </t>
    </r>
    <r>
      <rPr>
        <sz val="14"/>
        <color theme="1"/>
        <rFont val="Courier New"/>
        <family val="3"/>
      </rPr>
      <t>=IF(3&lt;=0,"G",IF(-2&lt;1,"C","D"))</t>
    </r>
    <r>
      <rPr>
        <sz val="14"/>
        <color theme="1"/>
        <rFont val="Calibri"/>
        <family val="2"/>
        <scheme val="minor"/>
      </rPr>
      <t xml:space="preserve"> return?</t>
    </r>
  </si>
  <si>
    <t>=IF(3&lt;=0,"G",IF(-2&lt;1,"C","D"))</t>
  </si>
  <si>
    <r>
      <t xml:space="preserve">What will </t>
    </r>
    <r>
      <rPr>
        <sz val="14"/>
        <color theme="1"/>
        <rFont val="Courier New"/>
        <family val="3"/>
      </rPr>
      <t>=IF(6&lt;&gt;8,IF(-2&lt;1,"C","D"),IF(5&gt;6,"A","B"))</t>
    </r>
    <r>
      <rPr>
        <sz val="14"/>
        <color theme="1"/>
        <rFont val="Calibri"/>
        <family val="2"/>
        <scheme val="minor"/>
      </rPr>
      <t xml:space="preserve"> return?</t>
    </r>
  </si>
  <si>
    <t>=IF(6&lt;&gt;8,IF(-2&lt;1,"C","D"),IF(5&gt;6,"A","B"))</t>
  </si>
  <si>
    <r>
      <t xml:space="preserve">Here are some results from the exercises on Nested </t>
    </r>
    <r>
      <rPr>
        <sz val="14"/>
        <color theme="1"/>
        <rFont val="Courier New"/>
        <family val="3"/>
      </rPr>
      <t>IF</t>
    </r>
    <r>
      <rPr>
        <sz val="14"/>
        <color theme="1"/>
        <rFont val="Calibri"/>
        <family val="2"/>
        <scheme val="minor"/>
      </rPr>
      <t xml:space="preserve"> functions:</t>
    </r>
  </si>
  <si>
    <r>
      <t xml:space="preserve">Using the </t>
    </r>
    <r>
      <rPr>
        <sz val="14"/>
        <color theme="1"/>
        <rFont val="Courier New"/>
        <family val="3"/>
      </rPr>
      <t>AND</t>
    </r>
    <r>
      <rPr>
        <sz val="14"/>
        <color theme="1"/>
        <rFont val="Calibri"/>
        <family val="2"/>
        <scheme val="minor"/>
      </rPr>
      <t xml:space="preserve"> and </t>
    </r>
    <r>
      <rPr>
        <sz val="14"/>
        <color theme="1"/>
        <rFont val="Courier New"/>
        <family val="3"/>
      </rPr>
      <t>OR</t>
    </r>
    <r>
      <rPr>
        <sz val="14"/>
        <color theme="1"/>
        <rFont val="Calibri"/>
        <family val="2"/>
        <scheme val="minor"/>
      </rPr>
      <t xml:space="preserve"> functions, find if the following compound conditions are </t>
    </r>
    <r>
      <rPr>
        <sz val="14"/>
        <color theme="1"/>
        <rFont val="Courier New"/>
        <family val="3"/>
      </rPr>
      <t>TRUE</t>
    </r>
    <r>
      <rPr>
        <sz val="14"/>
        <color theme="1"/>
        <rFont val="Calibri"/>
        <family val="2"/>
        <scheme val="minor"/>
      </rPr>
      <t xml:space="preserve"> or </t>
    </r>
    <r>
      <rPr>
        <sz val="14"/>
        <color theme="1"/>
        <rFont val="Courier New"/>
        <family val="3"/>
      </rPr>
      <t>FALSE</t>
    </r>
    <r>
      <rPr>
        <sz val="14"/>
        <color theme="1"/>
        <rFont val="Calibri"/>
        <family val="2"/>
        <scheme val="minor"/>
      </rPr>
      <t>:</t>
    </r>
  </si>
  <si>
    <r>
      <t xml:space="preserve">The function </t>
    </r>
    <r>
      <rPr>
        <sz val="14"/>
        <color theme="1"/>
        <rFont val="Courier New"/>
        <family val="3"/>
      </rPr>
      <t>IFERROR</t>
    </r>
    <r>
      <rPr>
        <sz val="14"/>
        <color theme="1"/>
        <rFont val="Calibri"/>
        <family val="2"/>
        <scheme val="minor"/>
      </rPr>
      <t xml:space="preserve"> takes 2 values: the value that it checks for an error, and the value that should be returned if the 1st value contains an error. Lets call them value A and value B. Specifically, if value A has an error, then </t>
    </r>
    <r>
      <rPr>
        <sz val="14"/>
        <color theme="1"/>
        <rFont val="Courier New"/>
        <family val="3"/>
      </rPr>
      <t>IFERROR</t>
    </r>
    <r>
      <rPr>
        <sz val="14"/>
        <color theme="1"/>
        <rFont val="Calibri"/>
        <family val="2"/>
        <scheme val="minor"/>
      </rPr>
      <t xml:space="preserve"> returns value B. Otherwise, if there is no error in value A, then </t>
    </r>
    <r>
      <rPr>
        <sz val="14"/>
        <color theme="1"/>
        <rFont val="Courier New"/>
        <family val="3"/>
      </rPr>
      <t>IFERROR</t>
    </r>
    <r>
      <rPr>
        <sz val="14"/>
        <color theme="1"/>
        <rFont val="Calibri"/>
        <family val="2"/>
        <scheme val="minor"/>
      </rPr>
      <t xml:space="preserve"> returns value A itself.</t>
    </r>
  </si>
  <si>
    <t>=10/0</t>
  </si>
  <si>
    <t>=2/5</t>
  </si>
  <si>
    <t>=A1</t>
  </si>
  <si>
    <t>=A0</t>
  </si>
  <si>
    <r>
      <t xml:space="preserve">Now, lets use </t>
    </r>
    <r>
      <rPr>
        <sz val="14"/>
        <color theme="1"/>
        <rFont val="Courier New"/>
        <family val="3"/>
      </rPr>
      <t>IFERROR</t>
    </r>
    <r>
      <rPr>
        <sz val="14"/>
        <color theme="1"/>
        <rFont val="Calibri"/>
        <family val="2"/>
        <scheme val="minor"/>
      </rPr>
      <t>:</t>
    </r>
  </si>
  <si>
    <r>
      <rPr>
        <sz val="14"/>
        <color theme="1"/>
        <rFont val="Courier New"/>
        <family val="3"/>
      </rPr>
      <t>5&gt;6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and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-2&lt;1</t>
    </r>
  </si>
  <si>
    <r>
      <rPr>
        <sz val="14"/>
        <color theme="1"/>
        <rFont val="Courier New"/>
        <family val="3"/>
      </rPr>
      <t>6&lt;&gt;8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and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-2&lt;1</t>
    </r>
  </si>
  <si>
    <r>
      <rPr>
        <sz val="14"/>
        <color theme="1"/>
        <rFont val="Courier New"/>
        <family val="3"/>
      </rPr>
      <t>6&lt;&gt;8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and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3&lt;=0</t>
    </r>
  </si>
  <si>
    <r>
      <rPr>
        <sz val="14"/>
        <color theme="1"/>
        <rFont val="Courier New"/>
        <family val="3"/>
      </rPr>
      <t>5&gt;6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and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3&lt;=0</t>
    </r>
  </si>
  <si>
    <r>
      <rPr>
        <sz val="14"/>
        <color theme="1"/>
        <rFont val="Courier New"/>
        <family val="3"/>
      </rPr>
      <t>5&gt;6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and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-2&lt;1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and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6&lt;&gt;8</t>
    </r>
  </si>
  <si>
    <r>
      <rPr>
        <sz val="14"/>
        <color theme="1"/>
        <rFont val="Courier New"/>
        <family val="3"/>
      </rPr>
      <t>-2&lt;1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and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6&lt;&gt;8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and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3&lt;=0</t>
    </r>
  </si>
  <si>
    <r>
      <rPr>
        <sz val="14"/>
        <color theme="1"/>
        <rFont val="Courier New"/>
        <family val="3"/>
      </rPr>
      <t>5&gt;6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or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-2&lt;1</t>
    </r>
  </si>
  <si>
    <r>
      <rPr>
        <sz val="14"/>
        <color theme="1"/>
        <rFont val="Courier New"/>
        <family val="3"/>
      </rPr>
      <t>6&lt;&gt;8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or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-2&lt;1</t>
    </r>
  </si>
  <si>
    <r>
      <rPr>
        <sz val="14"/>
        <color theme="1"/>
        <rFont val="Courier New"/>
        <family val="3"/>
      </rPr>
      <t>6&lt;&gt;8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or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3&lt;=0</t>
    </r>
  </si>
  <si>
    <r>
      <rPr>
        <sz val="14"/>
        <color theme="1"/>
        <rFont val="Courier New"/>
        <family val="3"/>
      </rPr>
      <t>5&gt;6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or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3&lt;=0</t>
    </r>
  </si>
  <si>
    <r>
      <rPr>
        <sz val="14"/>
        <color theme="1"/>
        <rFont val="Courier New"/>
        <family val="3"/>
      </rPr>
      <t>5&gt;6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or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-2&lt;1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or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6&lt;&gt;8</t>
    </r>
  </si>
  <si>
    <r>
      <rPr>
        <sz val="14"/>
        <color theme="1"/>
        <rFont val="Courier New"/>
        <family val="3"/>
      </rPr>
      <t>-2&lt;1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or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6&lt;&gt;8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or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ourier New"/>
        <family val="3"/>
      </rPr>
      <t>3&lt;=0</t>
    </r>
  </si>
  <si>
    <r>
      <t xml:space="preserve">Does </t>
    </r>
    <r>
      <rPr>
        <sz val="14"/>
        <color theme="1"/>
        <rFont val="Courier New"/>
        <family val="3"/>
      </rPr>
      <t>10/0</t>
    </r>
    <r>
      <rPr>
        <sz val="14"/>
        <color theme="1"/>
        <rFont val="Calibri"/>
        <family val="2"/>
        <scheme val="minor"/>
      </rPr>
      <t xml:space="preserve"> have an error?</t>
    </r>
  </si>
  <si>
    <r>
      <t xml:space="preserve">Does </t>
    </r>
    <r>
      <rPr>
        <sz val="14"/>
        <color theme="1"/>
        <rFont val="Courier New"/>
        <family val="3"/>
      </rPr>
      <t>2/5</t>
    </r>
    <r>
      <rPr>
        <sz val="14"/>
        <color theme="1"/>
        <rFont val="Calibri"/>
        <family val="2"/>
        <scheme val="minor"/>
      </rPr>
      <t xml:space="preserve"> have an error?</t>
    </r>
  </si>
  <si>
    <r>
      <t xml:space="preserve">Does </t>
    </r>
    <r>
      <rPr>
        <sz val="14"/>
        <color theme="1"/>
        <rFont val="Courier New"/>
        <family val="3"/>
      </rPr>
      <t>A1</t>
    </r>
    <r>
      <rPr>
        <sz val="14"/>
        <color theme="1"/>
        <rFont val="Calibri"/>
        <family val="2"/>
        <scheme val="minor"/>
      </rPr>
      <t xml:space="preserve"> have an error?</t>
    </r>
  </si>
  <si>
    <r>
      <t xml:space="preserve">Does </t>
    </r>
    <r>
      <rPr>
        <sz val="14"/>
        <color theme="1"/>
        <rFont val="Courier New"/>
        <family val="3"/>
      </rPr>
      <t>A0</t>
    </r>
    <r>
      <rPr>
        <sz val="14"/>
        <color theme="1"/>
        <rFont val="Calibri"/>
        <family val="2"/>
        <scheme val="minor"/>
      </rPr>
      <t xml:space="preserve"> have an error?</t>
    </r>
  </si>
  <si>
    <t>=IFERROR(2/5,"Error!")</t>
  </si>
  <si>
    <t>=IFERROR(A1,"Error!")</t>
  </si>
  <si>
    <t>=IFERROR(A0,"Error!")</t>
  </si>
  <si>
    <t>=IFERROR(10/0,"Error!")</t>
  </si>
  <si>
    <t>Rate</t>
  </si>
  <si>
    <t>Reminder:</t>
  </si>
  <si>
    <r>
      <t xml:space="preserve">Don't forget to divide the </t>
    </r>
    <r>
      <rPr>
        <b/>
        <sz val="14"/>
        <color theme="1"/>
        <rFont val="Calibri"/>
        <family val="2"/>
        <scheme val="minor"/>
      </rPr>
      <t>Rate</t>
    </r>
    <r>
      <rPr>
        <sz val="14"/>
        <color theme="1"/>
        <rFont val="Calibri"/>
        <family val="2"/>
        <scheme val="minor"/>
      </rPr>
      <t xml:space="preserve"> by 12, since the rate is annual, but the payments are made every month.</t>
    </r>
  </si>
  <si>
    <t>Note:</t>
  </si>
  <si>
    <r>
      <t xml:space="preserve">Using the </t>
    </r>
    <r>
      <rPr>
        <sz val="14"/>
        <color theme="1"/>
        <rFont val="Courier New"/>
        <family val="3"/>
      </rPr>
      <t>PMT</t>
    </r>
    <r>
      <rPr>
        <sz val="14"/>
        <color theme="1"/>
        <rFont val="Calibri"/>
        <family val="2"/>
        <scheme val="minor"/>
      </rPr>
      <t xml:space="preserve"> (Payment) Excel function, find the </t>
    </r>
    <r>
      <rPr>
        <u/>
        <sz val="14"/>
        <color theme="1"/>
        <rFont val="Calibri"/>
        <family val="2"/>
        <scheme val="minor"/>
      </rPr>
      <t>positive value</t>
    </r>
    <r>
      <rPr>
        <sz val="14"/>
        <color theme="1"/>
        <rFont val="Calibri"/>
        <family val="2"/>
        <scheme val="minor"/>
      </rPr>
      <t xml:space="preserve"> of the monthly loan payment that you need to make to pay the loan out:</t>
    </r>
  </si>
  <si>
    <r>
      <t>Number of Periods (</t>
    </r>
    <r>
      <rPr>
        <b/>
        <sz val="14"/>
        <color theme="1"/>
        <rFont val="Courier New"/>
        <family val="3"/>
      </rPr>
      <t>Nper</t>
    </r>
    <r>
      <rPr>
        <b/>
        <sz val="14"/>
        <color theme="1"/>
        <rFont val="Calibri"/>
        <family val="2"/>
        <scheme val="minor"/>
      </rPr>
      <t>)</t>
    </r>
  </si>
  <si>
    <r>
      <t>Present Value (</t>
    </r>
    <r>
      <rPr>
        <b/>
        <sz val="14"/>
        <color theme="1"/>
        <rFont val="Courier New"/>
        <family val="3"/>
      </rPr>
      <t>PV</t>
    </r>
    <r>
      <rPr>
        <b/>
        <sz val="14"/>
        <color theme="1"/>
        <rFont val="Calibri"/>
        <family val="2"/>
        <scheme val="minor"/>
      </rPr>
      <t>)</t>
    </r>
  </si>
  <si>
    <r>
      <t>Payment (</t>
    </r>
    <r>
      <rPr>
        <b/>
        <sz val="14"/>
        <color theme="1"/>
        <rFont val="Courier New"/>
        <family val="3"/>
      </rPr>
      <t>PMT</t>
    </r>
    <r>
      <rPr>
        <b/>
        <sz val="14"/>
        <color theme="1"/>
        <rFont val="Calibri"/>
        <family val="2"/>
        <scheme val="minor"/>
      </rPr>
      <t>)</t>
    </r>
  </si>
  <si>
    <r>
      <t xml:space="preserve">To find the positive value of the payment, negate the </t>
    </r>
    <r>
      <rPr>
        <b/>
        <sz val="14"/>
        <color theme="1"/>
        <rFont val="Calibri"/>
        <family val="2"/>
        <scheme val="minor"/>
      </rPr>
      <t>Present Value (</t>
    </r>
    <r>
      <rPr>
        <b/>
        <sz val="14"/>
        <color theme="1"/>
        <rFont val="Courier New"/>
        <family val="3"/>
      </rPr>
      <t>PV</t>
    </r>
    <r>
      <rPr>
        <b/>
        <sz val="14"/>
        <color theme="1"/>
        <rFont val="Calibri"/>
        <family val="2"/>
        <scheme val="minor"/>
      </rPr>
      <t>)</t>
    </r>
    <r>
      <rPr>
        <sz val="14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</si>
</sst>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.0000"/>
    <numFmt numFmtId="166" formatCode="0.0%"/>
  </numFmts>
  <fonts count="16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ourier New"/>
      <family val="3"/>
    </font>
    <font>
      <sz val="14"/>
      <color theme="1"/>
      <name val="Symbol"/>
      <family val="1"/>
      <charset val="2"/>
    </font>
    <font>
      <sz val="14"/>
      <color theme="1"/>
      <name val="Calibri"/>
      <family val="2"/>
    </font>
    <font>
      <sz val="14"/>
      <color theme="1"/>
      <name val="Calibri"/>
      <family val="1"/>
      <charset val="2"/>
    </font>
    <font>
      <sz val="12"/>
      <color theme="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34998626667073579"/>
      <name val="Courier New"/>
      <family val="3"/>
    </font>
    <font>
      <b/>
      <sz val="14"/>
      <color theme="1"/>
      <name val="Courier New"/>
      <family val="3"/>
    </font>
    <font>
      <sz val="14"/>
      <color theme="1"/>
      <name val="Calibri"/>
      <family val="3"/>
      <scheme val="minor"/>
    </font>
    <font>
      <sz val="11"/>
      <color theme="1" tint="0.34998626667073579"/>
      <name val="Courier New"/>
      <family val="3"/>
    </font>
    <font>
      <u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DAB48E"/>
        <bgColor indexed="64"/>
      </patternFill>
    </fill>
    <fill>
      <patternFill patternType="solid">
        <fgColor rgb="FFFFFFCC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10" borderId="32" applyNumberFormat="0" applyFont="0" applyAlignment="0" applyProtection="0"/>
  </cellStyleXfs>
  <cellXfs count="139">
    <xf numFmtId="0" fontId="0" fillId="0" borderId="0" xfId="0"/>
    <xf numFmtId="0" fontId="1" fillId="2" borderId="1" xfId="0" applyFont="1" applyFill="1" applyBorder="1" applyAlignment="1" applyProtection="1">
      <alignment horizontal="center"/>
      <protection locked="0"/>
    </xf>
    <xf numFmtId="0" fontId="1" fillId="6" borderId="3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0" fontId="1" fillId="7" borderId="8" xfId="0" applyFont="1" applyFill="1" applyBorder="1" applyAlignment="1" applyProtection="1">
      <alignment horizontal="center"/>
      <protection locked="0"/>
    </xf>
    <xf numFmtId="0" fontId="1" fillId="4" borderId="7" xfId="0" applyFont="1" applyFill="1" applyBorder="1" applyAlignment="1" applyProtection="1">
      <alignment horizontal="center"/>
      <protection locked="0"/>
    </xf>
    <xf numFmtId="0" fontId="1" fillId="8" borderId="8" xfId="0" applyFont="1" applyFill="1" applyBorder="1" applyAlignment="1" applyProtection="1">
      <alignment horizontal="center"/>
      <protection locked="0"/>
    </xf>
    <xf numFmtId="0" fontId="1" fillId="5" borderId="4" xfId="0" applyFont="1" applyFill="1" applyBorder="1" applyAlignment="1" applyProtection="1">
      <alignment horizontal="center"/>
      <protection locked="0"/>
    </xf>
    <xf numFmtId="0" fontId="1" fillId="9" borderId="6" xfId="0" applyFont="1" applyFill="1" applyBorder="1" applyAlignment="1" applyProtection="1">
      <alignment horizontal="center"/>
      <protection locked="0"/>
    </xf>
    <xf numFmtId="0" fontId="1" fillId="0" borderId="0" xfId="0" applyFont="1" applyProtection="1"/>
    <xf numFmtId="0" fontId="1" fillId="0" borderId="7" xfId="0" applyFont="1" applyBorder="1" applyAlignment="1" applyProtection="1">
      <alignment horizontal="center"/>
    </xf>
    <xf numFmtId="0" fontId="1" fillId="0" borderId="8" xfId="0" applyFont="1" applyBorder="1" applyAlignment="1" applyProtection="1">
      <alignment horizontal="center"/>
    </xf>
    <xf numFmtId="0" fontId="1" fillId="0" borderId="4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" fillId="0" borderId="11" xfId="0" applyFont="1" applyBorder="1" applyAlignment="1" applyProtection="1"/>
    <xf numFmtId="0" fontId="1" fillId="0" borderId="13" xfId="0" applyFont="1" applyBorder="1" applyProtection="1"/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3" xfId="0" applyFont="1" applyFill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/>
    </xf>
    <xf numFmtId="0" fontId="0" fillId="0" borderId="0" xfId="0" applyProtection="1"/>
    <xf numFmtId="0" fontId="1" fillId="2" borderId="10" xfId="0" applyFont="1" applyFill="1" applyBorder="1" applyAlignment="1" applyProtection="1">
      <alignment horizontal="center"/>
      <protection locked="0"/>
    </xf>
    <xf numFmtId="0" fontId="1" fillId="3" borderId="10" xfId="0" applyFont="1" applyFill="1" applyBorder="1" applyAlignment="1" applyProtection="1">
      <alignment horizontal="center"/>
      <protection locked="0"/>
    </xf>
    <xf numFmtId="0" fontId="1" fillId="4" borderId="10" xfId="0" applyFont="1" applyFill="1" applyBorder="1" applyAlignment="1" applyProtection="1">
      <alignment horizontal="center"/>
      <protection locked="0"/>
    </xf>
    <xf numFmtId="0" fontId="1" fillId="5" borderId="10" xfId="0" applyFont="1" applyFill="1" applyBorder="1" applyAlignment="1" applyProtection="1">
      <alignment horizontal="center"/>
      <protection locked="0"/>
    </xf>
    <xf numFmtId="0" fontId="1" fillId="6" borderId="10" xfId="0" applyFont="1" applyFill="1" applyBorder="1" applyAlignment="1" applyProtection="1">
      <alignment horizontal="center"/>
      <protection locked="0"/>
    </xf>
    <xf numFmtId="165" fontId="1" fillId="7" borderId="10" xfId="0" applyNumberFormat="1" applyFont="1" applyFill="1" applyBorder="1" applyProtection="1">
      <protection locked="0"/>
    </xf>
    <xf numFmtId="165" fontId="1" fillId="8" borderId="10" xfId="0" applyNumberFormat="1" applyFont="1" applyFill="1" applyBorder="1" applyProtection="1">
      <protection locked="0"/>
    </xf>
    <xf numFmtId="165" fontId="1" fillId="9" borderId="10" xfId="0" applyNumberFormat="1" applyFont="1" applyFill="1" applyBorder="1" applyProtection="1">
      <protection locked="0"/>
    </xf>
    <xf numFmtId="0" fontId="9" fillId="0" borderId="0" xfId="0" applyFont="1" applyAlignment="1" applyProtection="1">
      <alignment horizontal="center"/>
    </xf>
    <xf numFmtId="0" fontId="1" fillId="0" borderId="19" xfId="0" applyFont="1" applyBorder="1" applyAlignment="1" applyProtection="1">
      <alignment horizontal="center"/>
    </xf>
    <xf numFmtId="164" fontId="1" fillId="0" borderId="7" xfId="0" applyNumberFormat="1" applyFont="1" applyBorder="1" applyProtection="1"/>
    <xf numFmtId="164" fontId="1" fillId="0" borderId="9" xfId="0" applyNumberFormat="1" applyFont="1" applyBorder="1" applyProtection="1"/>
    <xf numFmtId="164" fontId="1" fillId="0" borderId="8" xfId="0" applyNumberFormat="1" applyFont="1" applyBorder="1" applyProtection="1"/>
    <xf numFmtId="0" fontId="1" fillId="0" borderId="20" xfId="0" applyFont="1" applyBorder="1" applyAlignment="1" applyProtection="1">
      <alignment horizontal="center"/>
    </xf>
    <xf numFmtId="164" fontId="1" fillId="0" borderId="4" xfId="0" applyNumberFormat="1" applyFont="1" applyBorder="1" applyProtection="1"/>
    <xf numFmtId="164" fontId="1" fillId="0" borderId="5" xfId="0" applyNumberFormat="1" applyFont="1" applyBorder="1" applyProtection="1"/>
    <xf numFmtId="164" fontId="1" fillId="0" borderId="6" xfId="0" applyNumberFormat="1" applyFont="1" applyBorder="1" applyProtection="1"/>
    <xf numFmtId="0" fontId="9" fillId="0" borderId="0" xfId="0" applyFont="1" applyAlignment="1" applyProtection="1">
      <alignment horizontal="left"/>
    </xf>
    <xf numFmtId="0" fontId="1" fillId="0" borderId="18" xfId="0" applyFont="1" applyBorder="1" applyAlignment="1" applyProtection="1">
      <alignment horizontal="center"/>
    </xf>
    <xf numFmtId="164" fontId="1" fillId="0" borderId="25" xfId="0" applyNumberFormat="1" applyFont="1" applyBorder="1" applyProtection="1"/>
    <xf numFmtId="164" fontId="1" fillId="0" borderId="17" xfId="0" applyNumberFormat="1" applyFont="1" applyBorder="1" applyProtection="1"/>
    <xf numFmtId="164" fontId="1" fillId="0" borderId="24" xfId="0" applyNumberFormat="1" applyFont="1" applyBorder="1" applyProtection="1"/>
    <xf numFmtId="0" fontId="1" fillId="0" borderId="10" xfId="0" applyFont="1" applyBorder="1" applyAlignment="1" applyProtection="1">
      <alignment horizontal="center"/>
    </xf>
    <xf numFmtId="0" fontId="1" fillId="0" borderId="11" xfId="0" applyFont="1" applyBorder="1" applyAlignment="1" applyProtection="1">
      <alignment horizontal="center"/>
    </xf>
    <xf numFmtId="165" fontId="1" fillId="0" borderId="7" xfId="0" applyNumberFormat="1" applyFont="1" applyBorder="1" applyProtection="1"/>
    <xf numFmtId="165" fontId="1" fillId="0" borderId="9" xfId="0" applyNumberFormat="1" applyFont="1" applyBorder="1" applyProtection="1"/>
    <xf numFmtId="165" fontId="1" fillId="0" borderId="8" xfId="0" applyNumberFormat="1" applyFont="1" applyBorder="1" applyProtection="1"/>
    <xf numFmtId="0" fontId="1" fillId="0" borderId="0" xfId="0" applyFont="1" applyBorder="1" applyProtection="1"/>
    <xf numFmtId="0" fontId="8" fillId="0" borderId="13" xfId="0" applyFont="1" applyBorder="1" applyAlignment="1" applyProtection="1">
      <alignment horizontal="center"/>
    </xf>
    <xf numFmtId="0" fontId="8" fillId="0" borderId="14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8" fillId="0" borderId="26" xfId="0" applyFont="1" applyBorder="1" applyAlignment="1" applyProtection="1">
      <alignment horizontal="center"/>
    </xf>
    <xf numFmtId="0" fontId="8" fillId="0" borderId="15" xfId="0" applyFont="1" applyBorder="1" applyAlignment="1" applyProtection="1">
      <alignment horizontal="center"/>
    </xf>
    <xf numFmtId="0" fontId="1" fillId="0" borderId="29" xfId="0" applyFont="1" applyBorder="1" applyAlignment="1" applyProtection="1">
      <alignment horizontal="center"/>
      <protection locked="0"/>
    </xf>
    <xf numFmtId="0" fontId="1" fillId="0" borderId="30" xfId="0" applyFont="1" applyBorder="1" applyAlignment="1" applyProtection="1">
      <alignment horizontal="center"/>
      <protection locked="0"/>
    </xf>
    <xf numFmtId="0" fontId="1" fillId="0" borderId="31" xfId="0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/>
    <xf numFmtId="0" fontId="1" fillId="0" borderId="0" xfId="0" quotePrefix="1" applyFont="1" applyAlignment="1" applyProtection="1">
      <alignment horizontal="center"/>
    </xf>
    <xf numFmtId="0" fontId="4" fillId="0" borderId="0" xfId="0" applyFont="1" applyProtection="1"/>
    <xf numFmtId="0" fontId="8" fillId="0" borderId="0" xfId="0" applyFont="1" applyAlignment="1" applyProtection="1">
      <alignment horizontal="center"/>
    </xf>
    <xf numFmtId="0" fontId="1" fillId="0" borderId="29" xfId="0" applyNumberFormat="1" applyFont="1" applyBorder="1" applyAlignment="1" applyProtection="1">
      <alignment horizontal="center"/>
      <protection locked="0"/>
    </xf>
    <xf numFmtId="0" fontId="12" fillId="0" borderId="14" xfId="0" applyFont="1" applyBorder="1" applyProtection="1"/>
    <xf numFmtId="0" fontId="12" fillId="0" borderId="15" xfId="0" applyFont="1" applyBorder="1" applyProtection="1"/>
    <xf numFmtId="0" fontId="8" fillId="0" borderId="27" xfId="0" applyFont="1" applyBorder="1" applyAlignment="1" applyProtection="1">
      <alignment horizontal="center"/>
    </xf>
    <xf numFmtId="0" fontId="8" fillId="0" borderId="28" xfId="0" applyFont="1" applyBorder="1" applyAlignment="1" applyProtection="1">
      <alignment horizontal="center"/>
    </xf>
    <xf numFmtId="0" fontId="8" fillId="0" borderId="39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vertical="top" wrapText="1"/>
    </xf>
    <xf numFmtId="44" fontId="1" fillId="0" borderId="3" xfId="0" applyNumberFormat="1" applyFont="1" applyBorder="1" applyAlignment="1" applyProtection="1">
      <protection locked="0"/>
    </xf>
    <xf numFmtId="44" fontId="1" fillId="0" borderId="8" xfId="1" applyFont="1" applyBorder="1" applyAlignment="1" applyProtection="1">
      <protection locked="0"/>
    </xf>
    <xf numFmtId="8" fontId="1" fillId="0" borderId="6" xfId="1" applyNumberFormat="1" applyFont="1" applyBorder="1" applyAlignment="1" applyProtection="1">
      <protection locked="0"/>
    </xf>
    <xf numFmtId="0" fontId="1" fillId="0" borderId="0" xfId="0" applyFont="1" applyAlignment="1" applyProtection="1"/>
    <xf numFmtId="0" fontId="0" fillId="0" borderId="0" xfId="0" applyAlignment="1" applyProtection="1"/>
    <xf numFmtId="166" fontId="1" fillId="0" borderId="4" xfId="2" applyNumberFormat="1" applyFont="1" applyBorder="1" applyAlignment="1" applyProtection="1"/>
    <xf numFmtId="0" fontId="1" fillId="0" borderId="5" xfId="0" applyNumberFormat="1" applyFont="1" applyBorder="1" applyAlignment="1" applyProtection="1"/>
    <xf numFmtId="44" fontId="1" fillId="0" borderId="5" xfId="1" applyFont="1" applyBorder="1" applyAlignment="1" applyProtection="1"/>
    <xf numFmtId="166" fontId="1" fillId="0" borderId="7" xfId="2" applyNumberFormat="1" applyFont="1" applyBorder="1" applyAlignment="1" applyProtection="1"/>
    <xf numFmtId="0" fontId="1" fillId="0" borderId="9" xfId="0" applyNumberFormat="1" applyFont="1" applyBorder="1" applyAlignment="1" applyProtection="1"/>
    <xf numFmtId="44" fontId="1" fillId="0" borderId="9" xfId="1" applyFont="1" applyBorder="1" applyAlignment="1" applyProtection="1"/>
    <xf numFmtId="166" fontId="1" fillId="0" borderId="1" xfId="2" applyNumberFormat="1" applyFont="1" applyBorder="1" applyAlignment="1" applyProtection="1"/>
    <xf numFmtId="0" fontId="1" fillId="0" borderId="2" xfId="0" applyNumberFormat="1" applyFont="1" applyBorder="1" applyAlignment="1" applyProtection="1"/>
    <xf numFmtId="44" fontId="1" fillId="0" borderId="2" xfId="1" applyFont="1" applyBorder="1" applyAlignment="1" applyProtection="1"/>
    <xf numFmtId="0" fontId="1" fillId="0" borderId="11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/>
    </xf>
    <xf numFmtId="0" fontId="5" fillId="0" borderId="9" xfId="0" applyFont="1" applyBorder="1" applyAlignment="1" applyProtection="1">
      <alignment horizontal="left"/>
    </xf>
    <xf numFmtId="0" fontId="1" fillId="0" borderId="9" xfId="0" applyFont="1" applyBorder="1" applyAlignment="1" applyProtection="1">
      <alignment horizontal="left"/>
    </xf>
    <xf numFmtId="0" fontId="5" fillId="0" borderId="16" xfId="0" applyFont="1" applyBorder="1" applyAlignment="1" applyProtection="1">
      <alignment horizontal="center" vertical="top" wrapText="1"/>
    </xf>
    <xf numFmtId="0" fontId="1" fillId="0" borderId="17" xfId="0" applyFont="1" applyBorder="1" applyAlignment="1" applyProtection="1">
      <alignment horizontal="center" vertical="top"/>
    </xf>
    <xf numFmtId="0" fontId="1" fillId="0" borderId="21" xfId="0" applyFont="1" applyBorder="1" applyAlignment="1" applyProtection="1">
      <alignment horizontal="center"/>
    </xf>
    <xf numFmtId="0" fontId="1" fillId="0" borderId="23" xfId="0" applyFont="1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11" fillId="0" borderId="11" xfId="0" quotePrefix="1" applyFont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0" borderId="13" xfId="0" applyFont="1" applyBorder="1" applyAlignment="1" applyProtection="1">
      <alignment horizontal="center"/>
      <protection locked="0"/>
    </xf>
    <xf numFmtId="0" fontId="11" fillId="0" borderId="12" xfId="0" quotePrefix="1" applyFont="1" applyBorder="1" applyAlignment="1" applyProtection="1">
      <alignment horizontal="center"/>
      <protection locked="0"/>
    </xf>
    <xf numFmtId="0" fontId="11" fillId="0" borderId="13" xfId="0" quotePrefix="1" applyFont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center"/>
      <protection locked="0"/>
    </xf>
    <xf numFmtId="0" fontId="1" fillId="0" borderId="11" xfId="0" applyFont="1" applyBorder="1" applyAlignment="1" applyProtection="1"/>
    <xf numFmtId="0" fontId="1" fillId="0" borderId="12" xfId="0" applyFont="1" applyBorder="1" applyAlignment="1" applyProtection="1"/>
    <xf numFmtId="0" fontId="1" fillId="0" borderId="13" xfId="0" applyFont="1" applyBorder="1" applyAlignment="1" applyProtection="1"/>
    <xf numFmtId="0" fontId="13" fillId="0" borderId="11" xfId="0" applyFont="1" applyBorder="1" applyAlignment="1" applyProtection="1">
      <alignment horizontal="center"/>
    </xf>
    <xf numFmtId="0" fontId="1" fillId="0" borderId="11" xfId="0" quotePrefix="1" applyFont="1" applyBorder="1" applyAlignment="1" applyProtection="1">
      <alignment horizontal="center"/>
    </xf>
    <xf numFmtId="0" fontId="1" fillId="0" borderId="12" xfId="0" quotePrefix="1" applyFont="1" applyBorder="1" applyAlignment="1" applyProtection="1">
      <alignment horizontal="center"/>
    </xf>
    <xf numFmtId="0" fontId="1" fillId="0" borderId="13" xfId="0" quotePrefix="1" applyFont="1" applyBorder="1" applyAlignment="1" applyProtection="1">
      <alignment horizontal="center"/>
    </xf>
    <xf numFmtId="0" fontId="11" fillId="0" borderId="11" xfId="0" quotePrefix="1" applyFont="1" applyBorder="1" applyAlignment="1" applyProtection="1">
      <alignment horizontal="center"/>
    </xf>
    <xf numFmtId="0" fontId="11" fillId="0" borderId="12" xfId="0" applyFont="1" applyBorder="1" applyAlignment="1" applyProtection="1">
      <alignment horizontal="center"/>
    </xf>
    <xf numFmtId="0" fontId="11" fillId="0" borderId="13" xfId="0" applyFont="1" applyBorder="1" applyAlignment="1" applyProtection="1">
      <alignment horizontal="center"/>
    </xf>
    <xf numFmtId="0" fontId="1" fillId="0" borderId="37" xfId="0" applyFont="1" applyBorder="1" applyAlignment="1" applyProtection="1">
      <alignment horizontal="center"/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1" fillId="0" borderId="23" xfId="0" applyFont="1" applyBorder="1" applyAlignment="1" applyProtection="1">
      <alignment horizontal="center"/>
      <protection locked="0"/>
    </xf>
    <xf numFmtId="0" fontId="1" fillId="0" borderId="11" xfId="0" applyFont="1" applyBorder="1" applyAlignment="1" applyProtection="1">
      <alignment horizontal="center"/>
      <protection locked="0"/>
    </xf>
    <xf numFmtId="0" fontId="14" fillId="0" borderId="11" xfId="0" quotePrefix="1" applyFont="1" applyBorder="1" applyAlignment="1" applyProtection="1">
      <alignment horizontal="center"/>
      <protection locked="0"/>
    </xf>
    <xf numFmtId="0" fontId="14" fillId="0" borderId="12" xfId="0" applyFont="1" applyBorder="1" applyAlignment="1" applyProtection="1">
      <alignment horizontal="center"/>
      <protection locked="0"/>
    </xf>
    <xf numFmtId="0" fontId="14" fillId="0" borderId="13" xfId="0" applyFont="1" applyBorder="1" applyAlignment="1" applyProtection="1">
      <alignment horizontal="center"/>
      <protection locked="0"/>
    </xf>
    <xf numFmtId="0" fontId="1" fillId="0" borderId="37" xfId="0" applyFont="1" applyBorder="1" applyAlignment="1" applyProtection="1">
      <alignment horizontal="left" vertical="top" wrapText="1"/>
    </xf>
    <xf numFmtId="0" fontId="1" fillId="0" borderId="21" xfId="0" applyFont="1" applyBorder="1" applyAlignment="1" applyProtection="1">
      <alignment horizontal="left" vertical="top" wrapText="1"/>
    </xf>
    <xf numFmtId="0" fontId="1" fillId="0" borderId="23" xfId="0" applyFont="1" applyBorder="1" applyAlignment="1" applyProtection="1">
      <alignment horizontal="left" vertical="top" wrapText="1"/>
    </xf>
    <xf numFmtId="0" fontId="1" fillId="0" borderId="33" xfId="0" applyFont="1" applyBorder="1" applyAlignment="1" applyProtection="1">
      <alignment horizontal="left" vertical="top" wrapText="1"/>
    </xf>
    <xf numFmtId="0" fontId="1" fillId="0" borderId="0" xfId="0" applyFont="1" applyBorder="1" applyAlignment="1" applyProtection="1">
      <alignment horizontal="left" vertical="top" wrapText="1"/>
    </xf>
    <xf numFmtId="0" fontId="1" fillId="0" borderId="38" xfId="0" applyFont="1" applyBorder="1" applyAlignment="1" applyProtection="1">
      <alignment horizontal="left" vertical="top" wrapText="1"/>
    </xf>
    <xf numFmtId="0" fontId="1" fillId="0" borderId="34" xfId="0" applyFont="1" applyBorder="1" applyAlignment="1" applyProtection="1">
      <alignment horizontal="left" vertical="top" wrapText="1"/>
    </xf>
    <xf numFmtId="0" fontId="1" fillId="0" borderId="35" xfId="0" applyFont="1" applyBorder="1" applyAlignment="1" applyProtection="1">
      <alignment horizontal="left" vertical="top" wrapText="1"/>
    </xf>
    <xf numFmtId="0" fontId="1" fillId="0" borderId="36" xfId="0" applyFont="1" applyBorder="1" applyAlignment="1" applyProtection="1">
      <alignment horizontal="left" vertical="top" wrapText="1"/>
    </xf>
    <xf numFmtId="0" fontId="1" fillId="10" borderId="32" xfId="3" applyFont="1" applyAlignment="1" applyProtection="1">
      <alignment horizontal="left" vertical="top" wrapText="1"/>
    </xf>
    <xf numFmtId="0" fontId="1" fillId="10" borderId="32" xfId="3" applyFont="1" applyAlignment="1" applyProtection="1">
      <alignment horizontal="center"/>
    </xf>
    <xf numFmtId="0" fontId="1" fillId="10" borderId="32" xfId="3" applyFont="1" applyAlignment="1" applyProtection="1">
      <alignment horizontal="center" vertical="top"/>
    </xf>
  </cellXfs>
  <cellStyles count="4">
    <cellStyle name="Currency" xfId="1" builtinId="4"/>
    <cellStyle name="Normal" xfId="0" builtinId="0"/>
    <cellStyle name="Note" xfId="3" builtinId="10"/>
    <cellStyle name="Percent" xfId="2" builtinId="5"/>
  </cellStyles>
  <dxfs count="5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</font>
    </dxf>
    <dxf>
      <font>
        <color theme="1"/>
      </font>
    </dxf>
    <dxf>
      <font>
        <b val="0"/>
        <i val="0"/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1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 val="0"/>
      </font>
    </dxf>
    <dxf>
      <font>
        <b/>
        <i/>
        <color rgb="FFFF0000"/>
      </font>
    </dxf>
    <dxf>
      <font>
        <b/>
        <i/>
        <color rgb="FF00B050"/>
      </font>
    </dxf>
    <dxf>
      <fill>
        <patternFill>
          <bgColor rgb="FFDAB48E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99FF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rgb="FFFFCCCC"/>
        </patternFill>
      </fill>
    </dxf>
    <dxf>
      <fill>
        <patternFill>
          <bgColor rgb="FFDAB48C"/>
        </patternFill>
      </fill>
    </dxf>
    <dxf>
      <fill>
        <patternFill>
          <bgColor theme="7" tint="0.59996337778862885"/>
        </patternFill>
      </fill>
    </dxf>
    <dxf>
      <fill>
        <patternFill>
          <bgColor rgb="FFCCFFCC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CC99FF"/>
        </patternFill>
      </fill>
    </dxf>
    <dxf>
      <fill>
        <patternFill>
          <bgColor theme="9" tint="0.59996337778862885"/>
        </patternFill>
      </fill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colors>
    <mruColors>
      <color rgb="FFFFCCCC"/>
      <color rgb="FFDAB48C"/>
      <color rgb="FFCCFFCC"/>
      <color rgb="FFCC99FF"/>
      <color rgb="FF9966FF"/>
      <color rgb="FFDAB48E"/>
      <color rgb="FFCCCC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4A186-5727-4B00-84A9-5EAABAD83105}">
  <sheetPr>
    <pageSetUpPr autoPageBreaks="0"/>
  </sheetPr>
  <dimension ref="B1:O17"/>
  <sheetViews>
    <sheetView tabSelected="1" zoomScaleNormal="100" workbookViewId="0">
      <selection activeCell="K11" sqref="K11"/>
    </sheetView>
  </sheetViews>
  <sheetFormatPr defaultColWidth="10.90625" defaultRowHeight="18.5"/>
  <cols>
    <col min="1" max="1" width="10.1796875" style="9" customWidth="1"/>
    <col min="2" max="2" width="10.08984375" style="9" customWidth="1"/>
    <col min="3" max="3" width="10.26953125" style="9" customWidth="1"/>
    <col min="4" max="4" width="10.36328125" style="9" customWidth="1"/>
    <col min="5" max="5" width="10.90625" style="9"/>
    <col min="6" max="6" width="12.08984375" style="9" customWidth="1"/>
    <col min="7" max="7" width="10.453125" style="9" customWidth="1"/>
    <col min="8" max="8" width="11.08984375" style="9" customWidth="1"/>
    <col min="9" max="9" width="10.90625" style="9"/>
    <col min="10" max="10" width="13.54296875" style="9" customWidth="1"/>
    <col min="11" max="12" width="12" style="9" bestFit="1" customWidth="1"/>
    <col min="13" max="13" width="13.08984375" style="9" customWidth="1"/>
    <col min="14" max="14" width="10.90625" style="9"/>
    <col min="15" max="15" width="8.1796875" style="9" customWidth="1"/>
    <col min="16" max="16384" width="10.90625" style="9"/>
  </cols>
  <sheetData>
    <row r="1" spans="2:15" ht="19" thickBot="1"/>
    <row r="2" spans="2:15">
      <c r="B2" s="18">
        <v>0</v>
      </c>
      <c r="C2" s="19">
        <v>60</v>
      </c>
      <c r="D2" s="19">
        <v>63</v>
      </c>
      <c r="E2" s="19">
        <v>67</v>
      </c>
      <c r="F2" s="19">
        <v>70</v>
      </c>
      <c r="G2" s="19">
        <v>73</v>
      </c>
      <c r="H2" s="19">
        <v>77</v>
      </c>
      <c r="I2" s="19">
        <v>80</v>
      </c>
      <c r="J2" s="19">
        <v>83</v>
      </c>
      <c r="K2" s="19">
        <v>87</v>
      </c>
      <c r="L2" s="19">
        <v>90</v>
      </c>
      <c r="M2" s="19">
        <v>93</v>
      </c>
      <c r="N2" s="20">
        <v>97</v>
      </c>
    </row>
    <row r="3" spans="2:15" ht="19" thickBot="1">
      <c r="B3" s="21" t="s">
        <v>0</v>
      </c>
      <c r="C3" s="22" t="s">
        <v>1</v>
      </c>
      <c r="D3" s="22" t="s">
        <v>2</v>
      </c>
      <c r="E3" s="22" t="s">
        <v>3</v>
      </c>
      <c r="F3" s="22" t="s">
        <v>4</v>
      </c>
      <c r="G3" s="22" t="s">
        <v>5</v>
      </c>
      <c r="H3" s="22" t="s">
        <v>6</v>
      </c>
      <c r="I3" s="22" t="s">
        <v>7</v>
      </c>
      <c r="J3" s="22" t="s">
        <v>8</v>
      </c>
      <c r="K3" s="22" t="s">
        <v>9</v>
      </c>
      <c r="L3" s="22" t="s">
        <v>10</v>
      </c>
      <c r="M3" s="22" t="s">
        <v>11</v>
      </c>
      <c r="N3" s="23" t="s">
        <v>12</v>
      </c>
    </row>
    <row r="4" spans="2:15" ht="19" thickBot="1"/>
    <row r="5" spans="2:15" ht="19" thickBot="1">
      <c r="B5" s="24">
        <v>0</v>
      </c>
      <c r="C5" s="25" t="s">
        <v>0</v>
      </c>
      <c r="H5" s="24" t="s">
        <v>13</v>
      </c>
      <c r="I5" s="26" t="s">
        <v>15</v>
      </c>
      <c r="J5" s="26" t="s">
        <v>17</v>
      </c>
      <c r="K5" s="26" t="s">
        <v>19</v>
      </c>
      <c r="L5" s="25" t="s">
        <v>21</v>
      </c>
      <c r="N5" s="95" t="s">
        <v>39</v>
      </c>
      <c r="O5" s="96"/>
    </row>
    <row r="6" spans="2:15" ht="19" thickBot="1">
      <c r="B6" s="10">
        <v>60</v>
      </c>
      <c r="C6" s="11" t="s">
        <v>1</v>
      </c>
      <c r="E6" s="24" t="s">
        <v>13</v>
      </c>
      <c r="F6" s="27" t="s">
        <v>14</v>
      </c>
      <c r="H6" s="12" t="s">
        <v>14</v>
      </c>
      <c r="I6" s="28" t="s">
        <v>16</v>
      </c>
      <c r="J6" s="28" t="s">
        <v>18</v>
      </c>
      <c r="K6" s="28" t="s">
        <v>20</v>
      </c>
      <c r="L6" s="13" t="s">
        <v>22</v>
      </c>
      <c r="N6" s="95" t="s">
        <v>40</v>
      </c>
      <c r="O6" s="96"/>
    </row>
    <row r="7" spans="2:15" ht="19" thickBot="1">
      <c r="B7" s="10">
        <v>63</v>
      </c>
      <c r="C7" s="11" t="s">
        <v>2</v>
      </c>
      <c r="E7" s="10" t="s">
        <v>15</v>
      </c>
      <c r="F7" s="11" t="s">
        <v>16</v>
      </c>
      <c r="I7" s="14"/>
    </row>
    <row r="8" spans="2:15" ht="19" thickBot="1">
      <c r="B8" s="10">
        <v>67</v>
      </c>
      <c r="C8" s="11" t="s">
        <v>3</v>
      </c>
      <c r="E8" s="10" t="s">
        <v>17</v>
      </c>
      <c r="F8" s="11" t="s">
        <v>18</v>
      </c>
      <c r="H8" s="92" t="s">
        <v>27</v>
      </c>
      <c r="I8" s="93"/>
      <c r="J8" s="93"/>
      <c r="K8" s="94"/>
      <c r="M8" s="69"/>
    </row>
    <row r="9" spans="2:15" ht="19" thickBot="1">
      <c r="B9" s="10">
        <v>70</v>
      </c>
      <c r="C9" s="11" t="s">
        <v>4</v>
      </c>
      <c r="E9" s="10" t="s">
        <v>19</v>
      </c>
      <c r="F9" s="11" t="s">
        <v>20</v>
      </c>
      <c r="H9" s="29"/>
      <c r="I9" s="29"/>
      <c r="J9" s="29"/>
      <c r="K9" s="30"/>
      <c r="L9" s="30"/>
    </row>
    <row r="10" spans="2:15" ht="19" thickBot="1">
      <c r="B10" s="10">
        <v>73</v>
      </c>
      <c r="C10" s="11" t="s">
        <v>5</v>
      </c>
      <c r="E10" s="12" t="s">
        <v>21</v>
      </c>
      <c r="F10" s="13" t="s">
        <v>22</v>
      </c>
      <c r="H10" s="14"/>
      <c r="K10" s="72" t="s">
        <v>23</v>
      </c>
      <c r="L10" s="73" t="s">
        <v>24</v>
      </c>
    </row>
    <row r="11" spans="2:15" ht="19" thickBot="1">
      <c r="B11" s="10">
        <v>77</v>
      </c>
      <c r="C11" s="11" t="s">
        <v>6</v>
      </c>
      <c r="H11" s="15" t="s">
        <v>28</v>
      </c>
      <c r="I11" s="16"/>
      <c r="J11" s="17" t="str">
        <f>IFERROR(IF(K11="Apple","✔ Correct!",IF(COUNTBLANK(K11)&lt;&gt;1,"❌ Wrong!","→")),"❌ Wrong!")</f>
        <v>→</v>
      </c>
      <c r="K11" s="1"/>
      <c r="L11" s="2"/>
      <c r="M11" s="14" t="str">
        <f>IFERROR(IF(L11="Apple","✔ Correct!",IF(COUNTBLANK(L11)&lt;&gt;1,"❌ Wrong!","←")),"❌ Wrong!")</f>
        <v>←</v>
      </c>
    </row>
    <row r="12" spans="2:15" ht="19" thickBot="1">
      <c r="B12" s="10">
        <v>80</v>
      </c>
      <c r="C12" s="11" t="s">
        <v>7</v>
      </c>
      <c r="E12" s="97" t="s">
        <v>25</v>
      </c>
      <c r="F12" s="97" t="s">
        <v>26</v>
      </c>
      <c r="H12" s="15" t="s">
        <v>29</v>
      </c>
      <c r="I12" s="16"/>
      <c r="J12" s="17" t="str">
        <f>IFERROR(IF(K12="Facebook","✔ Correct!",IF(COUNTBLANK(K12)&lt;&gt;1,"❌ Wrong!","→")),"❌ Wrong!")</f>
        <v>→</v>
      </c>
      <c r="K12" s="3"/>
      <c r="L12" s="4"/>
      <c r="M12" s="14" t="str">
        <f>IFERROR(IF(L12="Facebook","✔ Correct!",IF(COUNTBLANK(L12)&lt;&gt;1,"❌ Wrong!","←")),"❌ Wrong!")</f>
        <v>←</v>
      </c>
    </row>
    <row r="13" spans="2:15" ht="19" thickBot="1">
      <c r="B13" s="10">
        <v>83</v>
      </c>
      <c r="C13" s="11" t="s">
        <v>8</v>
      </c>
      <c r="E13" s="98"/>
      <c r="F13" s="98"/>
      <c r="H13" s="15" t="s">
        <v>30</v>
      </c>
      <c r="I13" s="16"/>
      <c r="J13" s="17" t="str">
        <f>IFERROR(IF(K13="B+","✔ Correct!",IF(COUNTBLANK(K13)&lt;&gt;1,"❌ Wrong!","→")),"❌ Wrong!")</f>
        <v>→</v>
      </c>
      <c r="K13" s="5"/>
      <c r="L13" s="6"/>
      <c r="M13" s="14" t="str">
        <f>IFERROR(IF(L13="B+","✔ Correct!",IF(COUNTBLANK(L13)&lt;&gt;1,"❌ Wrong!","←")),"❌ Wrong!")</f>
        <v>←</v>
      </c>
    </row>
    <row r="14" spans="2:15" ht="19" thickBot="1">
      <c r="B14" s="10">
        <v>87</v>
      </c>
      <c r="C14" s="11" t="s">
        <v>9</v>
      </c>
      <c r="H14" s="15" t="s">
        <v>31</v>
      </c>
      <c r="I14" s="16"/>
      <c r="J14" s="17" t="str">
        <f>IFERROR(IF(K14="A-","✔ Correct!",IF(COUNTBLANK(K14)&lt;&gt;1,"❌ Wrong!","→")),"❌ Wrong!")</f>
        <v>→</v>
      </c>
      <c r="K14" s="7"/>
      <c r="L14" s="8"/>
      <c r="M14" s="14" t="str">
        <f>IFERROR(IF(L14="A-","✔ Correct!",IF(COUNTBLANK(L14)&lt;&gt;1,"❌ Wrong!","←")),"❌ Wrong!")</f>
        <v>←</v>
      </c>
    </row>
    <row r="15" spans="2:15">
      <c r="B15" s="10">
        <v>90</v>
      </c>
      <c r="C15" s="11" t="s">
        <v>10</v>
      </c>
    </row>
    <row r="16" spans="2:15">
      <c r="B16" s="10">
        <v>93</v>
      </c>
      <c r="C16" s="11" t="s">
        <v>11</v>
      </c>
    </row>
    <row r="17" spans="2:3" ht="19" thickBot="1">
      <c r="B17" s="12">
        <v>97</v>
      </c>
      <c r="C17" s="13" t="s">
        <v>12</v>
      </c>
    </row>
  </sheetData>
  <sheetProtection sheet="1" objects="1" scenarios="1"/>
  <mergeCells count="5">
    <mergeCell ref="H8:K8"/>
    <mergeCell ref="N5:O5"/>
    <mergeCell ref="N6:O6"/>
    <mergeCell ref="E12:E13"/>
    <mergeCell ref="F12:F13"/>
  </mergeCells>
  <conditionalFormatting sqref="J11:J14 M11:M14">
    <cfRule type="cellIs" dxfId="54" priority="14" operator="equal">
      <formula>"❌ Wrong!"</formula>
    </cfRule>
    <cfRule type="cellIs" dxfId="53" priority="15" operator="equal">
      <formula>"✔ Correct!"</formula>
    </cfRule>
  </conditionalFormatting>
  <conditionalFormatting sqref="E6:F6">
    <cfRule type="expression" dxfId="52" priority="10">
      <formula>($K$11="Apple")</formula>
    </cfRule>
  </conditionalFormatting>
  <conditionalFormatting sqref="H5:H6">
    <cfRule type="expression" dxfId="51" priority="11">
      <formula>($L$11="Apple")</formula>
    </cfRule>
  </conditionalFormatting>
  <conditionalFormatting sqref="E9:F9">
    <cfRule type="expression" dxfId="50" priority="12">
      <formula>($K$12="Facebook")</formula>
    </cfRule>
  </conditionalFormatting>
  <conditionalFormatting sqref="B14:C14">
    <cfRule type="expression" dxfId="49" priority="6">
      <formula>($K$13="B+")</formula>
    </cfRule>
  </conditionalFormatting>
  <conditionalFormatting sqref="K2:K3">
    <cfRule type="expression" dxfId="48" priority="7">
      <formula>($L$13="B+")</formula>
    </cfRule>
  </conditionalFormatting>
  <conditionalFormatting sqref="B15:C15">
    <cfRule type="expression" dxfId="47" priority="5">
      <formula>($K$14="A-")</formula>
    </cfRule>
  </conditionalFormatting>
  <conditionalFormatting sqref="L2:L3">
    <cfRule type="expression" dxfId="46" priority="4">
      <formula>($L$14="A-")</formula>
    </cfRule>
  </conditionalFormatting>
  <conditionalFormatting sqref="K5:K6">
    <cfRule type="expression" dxfId="45" priority="3">
      <formula>($L$12="Facebook")</formula>
    </cfRule>
  </conditionalFormatting>
  <conditionalFormatting sqref="J11:J14">
    <cfRule type="cellIs" dxfId="44" priority="2" operator="equal">
      <formula>"→"</formula>
    </cfRule>
  </conditionalFormatting>
  <conditionalFormatting sqref="M11:M14">
    <cfRule type="cellIs" dxfId="43" priority="1" operator="equal">
      <formula>"←"</formula>
    </cfRule>
  </conditionalFormatting>
  <pageMargins left="0.7" right="0.7" top="0.75" bottom="0.75" header="0.3" footer="0.3"/>
  <pageSetup orientation="portrait" r:id="rId1"/>
  <headerFooter>
    <oddHeader>&amp;C&amp;G Creative Commons License: This work by Miriam Briskman is licensed under a Creative Commons Attribution-NonCommercial 4.0 International License.</oddHeader>
    <oddFooter>&amp;C&amp;G Creative Commons License: This work by Miriam Briskman is licensed under a Creative Commons Attribution-NonCommercial 4.0 International License.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7A598-454D-4123-9FC6-A19946BC6911}">
  <sheetPr>
    <pageSetUpPr autoPageBreaks="0"/>
  </sheetPr>
  <dimension ref="A1:N18"/>
  <sheetViews>
    <sheetView zoomScaleNormal="100" workbookViewId="0">
      <selection activeCell="L4" sqref="L4"/>
    </sheetView>
  </sheetViews>
  <sheetFormatPr defaultColWidth="11.54296875" defaultRowHeight="18.5"/>
  <cols>
    <col min="1" max="7" width="11.54296875" style="9"/>
    <col min="8" max="8" width="12.36328125" style="9" customWidth="1"/>
    <col min="9" max="11" width="11.54296875" style="9"/>
    <col min="12" max="12" width="14.90625" style="9" customWidth="1"/>
    <col min="13" max="13" width="13.54296875" style="9" customWidth="1"/>
    <col min="14" max="16384" width="11.54296875" style="9"/>
  </cols>
  <sheetData>
    <row r="1" spans="1:14" ht="19" thickBot="1"/>
    <row r="2" spans="1:14" ht="19" thickBot="1">
      <c r="B2" s="92" t="s">
        <v>35</v>
      </c>
      <c r="C2" s="99"/>
      <c r="D2" s="99"/>
      <c r="E2" s="99"/>
      <c r="F2" s="100"/>
      <c r="H2" s="92" t="s">
        <v>36</v>
      </c>
      <c r="I2" s="93"/>
      <c r="J2" s="93"/>
      <c r="K2" s="93"/>
      <c r="L2" s="94"/>
    </row>
    <row r="3" spans="1:14" ht="19" thickBot="1">
      <c r="A3" s="58"/>
      <c r="B3" s="59"/>
      <c r="C3" s="60">
        <v>2019</v>
      </c>
      <c r="D3" s="61">
        <v>2020</v>
      </c>
      <c r="E3" s="62">
        <v>2021</v>
      </c>
      <c r="F3" s="63">
        <v>2022</v>
      </c>
    </row>
    <row r="4" spans="1:14" ht="19" thickBot="1">
      <c r="B4" s="49" t="s">
        <v>14</v>
      </c>
      <c r="C4" s="50">
        <v>2.5</v>
      </c>
      <c r="D4" s="51">
        <v>2.8</v>
      </c>
      <c r="E4" s="51">
        <v>3.1</v>
      </c>
      <c r="F4" s="52">
        <v>3.5</v>
      </c>
      <c r="H4" s="53" t="s">
        <v>18</v>
      </c>
      <c r="I4" s="92" t="s">
        <v>41</v>
      </c>
      <c r="J4" s="93"/>
      <c r="K4" s="94"/>
      <c r="L4" s="31"/>
      <c r="M4" s="39" t="str">
        <f>IFERROR(IF($L4=3,"✔ Correct!",IF(COUNTBLANK($L4)&lt;&gt;1,"❌ Wrong!","←")),"❌ Wrong!")</f>
        <v>←</v>
      </c>
      <c r="N4" s="30"/>
    </row>
    <row r="5" spans="1:14" ht="19" thickBot="1">
      <c r="B5" s="40" t="s">
        <v>16</v>
      </c>
      <c r="C5" s="41">
        <v>1.2</v>
      </c>
      <c r="D5" s="42">
        <v>1.5</v>
      </c>
      <c r="E5" s="42">
        <v>1.3</v>
      </c>
      <c r="F5" s="43">
        <v>2.1</v>
      </c>
      <c r="H5" s="53" t="s">
        <v>32</v>
      </c>
      <c r="I5" s="92" t="s">
        <v>41</v>
      </c>
      <c r="J5" s="93"/>
      <c r="K5" s="94"/>
      <c r="L5" s="32"/>
      <c r="M5" s="39" t="str">
        <f>IFERROR(IF($L5=6,"✔ Correct!",IF(COUNTBLANK($L5)&lt;&gt;1,"❌ Wrong!","←")),"❌ Wrong!")</f>
        <v>←</v>
      </c>
    </row>
    <row r="6" spans="1:14" ht="19" thickBot="1">
      <c r="B6" s="40" t="s">
        <v>18</v>
      </c>
      <c r="C6" s="41">
        <v>0.95</v>
      </c>
      <c r="D6" s="42">
        <v>1.2</v>
      </c>
      <c r="E6" s="42">
        <v>1.3</v>
      </c>
      <c r="F6" s="43">
        <v>1.1000000000000001</v>
      </c>
      <c r="H6" s="54" t="s">
        <v>38</v>
      </c>
      <c r="I6" s="92" t="s">
        <v>42</v>
      </c>
      <c r="J6" s="93"/>
      <c r="K6" s="94"/>
      <c r="L6" s="33"/>
      <c r="M6" s="39" t="str">
        <f>IF(AND(COUNTBLANK($L6)&lt;&gt;1,ISERROR($L6)),"✔ Correct!",IF(COUNTBLANK($L6)&lt;&gt;1,"❌ Wrong!","←"))</f>
        <v>←</v>
      </c>
    </row>
    <row r="7" spans="1:14" ht="19" thickBot="1">
      <c r="B7" s="40" t="s">
        <v>20</v>
      </c>
      <c r="C7" s="41">
        <v>6.5</v>
      </c>
      <c r="D7" s="42">
        <v>4.3</v>
      </c>
      <c r="E7" s="42">
        <v>5.5</v>
      </c>
      <c r="F7" s="43">
        <v>5.5</v>
      </c>
      <c r="H7" s="54">
        <v>2020</v>
      </c>
      <c r="I7" s="92" t="s">
        <v>43</v>
      </c>
      <c r="J7" s="101"/>
      <c r="K7" s="102"/>
      <c r="L7" s="34"/>
      <c r="M7" s="39" t="str">
        <f>IFERROR(IF($L7=2,"✔ Correct!",IF(COUNTBLANK($L7)&lt;&gt;1,"❌ Wrong!","←")),"❌ Wrong!")</f>
        <v>←</v>
      </c>
    </row>
    <row r="8" spans="1:14" ht="19" thickBot="1">
      <c r="B8" s="40" t="s">
        <v>22</v>
      </c>
      <c r="C8" s="55">
        <v>1.2999999999999999E-3</v>
      </c>
      <c r="D8" s="56">
        <v>1.5E-3</v>
      </c>
      <c r="E8" s="56">
        <v>2.0999999999999999E-3</v>
      </c>
      <c r="F8" s="57">
        <v>2.3E-3</v>
      </c>
      <c r="H8" s="54">
        <v>2022</v>
      </c>
      <c r="I8" s="92" t="s">
        <v>44</v>
      </c>
      <c r="J8" s="101"/>
      <c r="K8" s="102"/>
      <c r="L8" s="35"/>
      <c r="M8" s="39" t="str">
        <f>IFERROR(IF($L8=4,"✔ Correct!",IF(COUNTBLANK($L8)&lt;&gt;1,"❌ Wrong!","←")),"❌ Wrong!")</f>
        <v>←</v>
      </c>
    </row>
    <row r="9" spans="1:14" ht="19" thickBot="1">
      <c r="B9" s="40" t="s">
        <v>32</v>
      </c>
      <c r="C9" s="41">
        <v>65</v>
      </c>
      <c r="D9" s="42">
        <v>69</v>
      </c>
      <c r="E9" s="42">
        <v>71</v>
      </c>
      <c r="F9" s="43">
        <v>256</v>
      </c>
    </row>
    <row r="10" spans="1:14" ht="19" thickBot="1">
      <c r="B10" s="40" t="s">
        <v>33</v>
      </c>
      <c r="C10" s="41">
        <v>2.5</v>
      </c>
      <c r="D10" s="42">
        <v>2.6</v>
      </c>
      <c r="E10" s="42">
        <v>2.5</v>
      </c>
      <c r="F10" s="43">
        <v>2.7</v>
      </c>
      <c r="H10" s="92" t="s">
        <v>37</v>
      </c>
      <c r="I10" s="93"/>
      <c r="J10" s="93"/>
      <c r="K10" s="93"/>
      <c r="L10" s="94"/>
    </row>
    <row r="11" spans="1:14" ht="19" thickBot="1">
      <c r="B11" s="44" t="s">
        <v>34</v>
      </c>
      <c r="C11" s="45">
        <v>1.5</v>
      </c>
      <c r="D11" s="46">
        <v>2.6</v>
      </c>
      <c r="E11" s="46">
        <v>2.9</v>
      </c>
      <c r="F11" s="47">
        <v>2.1</v>
      </c>
      <c r="H11" s="17"/>
      <c r="I11" s="17"/>
      <c r="J11" s="17"/>
      <c r="K11" s="17"/>
      <c r="L11" s="17"/>
    </row>
    <row r="12" spans="1:14" ht="19" thickBot="1">
      <c r="H12" s="74" t="s">
        <v>45</v>
      </c>
      <c r="I12" s="75" t="s">
        <v>46</v>
      </c>
      <c r="M12" s="48"/>
    </row>
    <row r="13" spans="1:14" ht="19" thickBot="1">
      <c r="H13" s="24">
        <v>1</v>
      </c>
      <c r="I13" s="25">
        <v>2</v>
      </c>
      <c r="J13" s="93" t="s">
        <v>47</v>
      </c>
      <c r="K13" s="94"/>
      <c r="L13" s="36"/>
      <c r="M13" s="39" t="str">
        <f>IFERROR(IF($L13=2.8,"✔ Correct!",IF(COUNTBLANK($L13)&lt;&gt;1,"❌ Wrong!","←")),"❌ Wrong!")</f>
        <v>←</v>
      </c>
    </row>
    <row r="14" spans="1:14" ht="19" thickBot="1">
      <c r="H14" s="10">
        <v>5</v>
      </c>
      <c r="I14" s="11">
        <v>4</v>
      </c>
      <c r="J14" s="93" t="s">
        <v>47</v>
      </c>
      <c r="K14" s="94"/>
      <c r="L14" s="37"/>
      <c r="M14" s="39" t="str">
        <f>IFERROR(IF($L14=0.0023,"✔ Correct!",IF(COUNTBLANK($L14)&lt;&gt;1,"❌ Wrong!","←")),"❌ Wrong!")</f>
        <v>←</v>
      </c>
    </row>
    <row r="15" spans="1:14" ht="19" thickBot="1">
      <c r="H15" s="12">
        <v>8</v>
      </c>
      <c r="I15" s="13">
        <v>3</v>
      </c>
      <c r="J15" s="93" t="s">
        <v>47</v>
      </c>
      <c r="K15" s="94"/>
      <c r="L15" s="38"/>
      <c r="M15" s="39" t="str">
        <f>IFERROR(IF($L15=2.9,"✔ Correct!",IF(COUNTBLANK($L15)&lt;&gt;1,"❌ Wrong!","←")),"❌ Wrong!")</f>
        <v>←</v>
      </c>
    </row>
    <row r="16" spans="1:14">
      <c r="H16" s="30"/>
      <c r="I16" s="30"/>
      <c r="J16" s="30"/>
      <c r="K16" s="30"/>
    </row>
    <row r="17" spans="8:11">
      <c r="H17" s="30"/>
      <c r="I17" s="30"/>
      <c r="J17" s="30"/>
      <c r="K17" s="30"/>
    </row>
    <row r="18" spans="8:11">
      <c r="H18" s="30"/>
      <c r="I18" s="30"/>
      <c r="J18" s="30"/>
      <c r="K18" s="30"/>
    </row>
  </sheetData>
  <sheetProtection sheet="1" objects="1" scenarios="1"/>
  <mergeCells count="11">
    <mergeCell ref="J13:K13"/>
    <mergeCell ref="J14:K14"/>
    <mergeCell ref="J15:K15"/>
    <mergeCell ref="H10:L10"/>
    <mergeCell ref="B2:F2"/>
    <mergeCell ref="H2:L2"/>
    <mergeCell ref="I4:K4"/>
    <mergeCell ref="I5:K5"/>
    <mergeCell ref="I6:K6"/>
    <mergeCell ref="I7:K7"/>
    <mergeCell ref="I8:K8"/>
  </mergeCells>
  <phoneticPr fontId="7" type="noConversion"/>
  <conditionalFormatting sqref="B6">
    <cfRule type="expression" dxfId="42" priority="11">
      <formula>(L4=3)</formula>
    </cfRule>
  </conditionalFormatting>
  <conditionalFormatting sqref="B9">
    <cfRule type="expression" dxfId="41" priority="10">
      <formula>(L5=6)</formula>
    </cfRule>
  </conditionalFormatting>
  <conditionalFormatting sqref="D3">
    <cfRule type="expression" dxfId="40" priority="9">
      <formula>(L7=2)</formula>
    </cfRule>
  </conditionalFormatting>
  <conditionalFormatting sqref="F3">
    <cfRule type="expression" dxfId="39" priority="6">
      <formula>(L8=4)</formula>
    </cfRule>
  </conditionalFormatting>
  <conditionalFormatting sqref="D4">
    <cfRule type="expression" dxfId="38" priority="5">
      <formula>(L13=2.8)</formula>
    </cfRule>
  </conditionalFormatting>
  <conditionalFormatting sqref="F8">
    <cfRule type="expression" dxfId="37" priority="4">
      <formula>(L14=0.0023)</formula>
    </cfRule>
  </conditionalFormatting>
  <conditionalFormatting sqref="E11">
    <cfRule type="expression" dxfId="36" priority="3">
      <formula>(L15=2.9)</formula>
    </cfRule>
  </conditionalFormatting>
  <conditionalFormatting sqref="M4:M8 M13:M15">
    <cfRule type="cellIs" dxfId="35" priority="1" operator="equal">
      <formula>"✔ Correct!"</formula>
    </cfRule>
    <cfRule type="cellIs" dxfId="34" priority="2" operator="equal">
      <formula>"❌ Wrong!"</formula>
    </cfRule>
  </conditionalFormatting>
  <pageMargins left="0.7" right="0.7" top="0.75" bottom="0.75" header="0.3" footer="0.3"/>
  <pageSetup orientation="portrait" r:id="rId1"/>
  <headerFooter>
    <oddHeader>&amp;C&amp;G Creative Commons License: This work by Miriam Briskman is licensed under a Creative Commons Attribution-NonCommercial 4.0 International License.</oddHeader>
    <oddFooter>&amp;C&amp;G Creative Commons License: This work by Miriam Briskman is licensed under a Creative Commons Attribution-NonCommercial 4.0 International License.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25680-BBF5-4293-9A05-799BF222A99D}">
  <sheetPr>
    <pageSetUpPr autoPageBreaks="0"/>
  </sheetPr>
  <dimension ref="B1:I13"/>
  <sheetViews>
    <sheetView zoomScaleNormal="100" workbookViewId="0">
      <selection activeCell="C4" sqref="C4"/>
    </sheetView>
  </sheetViews>
  <sheetFormatPr defaultRowHeight="18.5"/>
  <cols>
    <col min="1" max="3" width="8.7265625" style="9"/>
    <col min="4" max="4" width="13.1796875" style="9" bestFit="1" customWidth="1"/>
    <col min="5" max="7" width="8.7265625" style="9"/>
    <col min="8" max="8" width="13.1796875" style="9" bestFit="1" customWidth="1"/>
    <col min="9" max="16384" width="8.7265625" style="9"/>
  </cols>
  <sheetData>
    <row r="1" spans="2:9" ht="19" thickBot="1"/>
    <row r="2" spans="2:9" ht="19" thickBot="1">
      <c r="B2" s="92" t="s">
        <v>48</v>
      </c>
      <c r="C2" s="93"/>
      <c r="D2" s="93"/>
      <c r="E2" s="93"/>
      <c r="F2" s="93"/>
      <c r="G2" s="93"/>
      <c r="H2" s="94"/>
      <c r="I2" s="67"/>
    </row>
    <row r="3" spans="2:9" ht="19" thickBot="1"/>
    <row r="4" spans="2:9">
      <c r="B4" s="49" t="s">
        <v>49</v>
      </c>
      <c r="C4" s="71"/>
      <c r="D4" s="14" t="str">
        <f>IFERROR(IF(C4=3,"✔ Correct!",IF(COUNTBLANK(C4)&lt;&gt;1,"❌ Wrong!","←")),"❌ Wrong!")</f>
        <v>←</v>
      </c>
      <c r="F4" s="49" t="s">
        <v>52</v>
      </c>
      <c r="G4" s="64"/>
      <c r="H4" s="14" t="str">
        <f>IFERROR(IF(G4=18,"✔ Correct!",IF(COUNTBLANK(G4)&lt;&gt;1,"❌ Wrong!","←")),"❌ Wrong!")</f>
        <v>←</v>
      </c>
    </row>
    <row r="5" spans="2:9">
      <c r="B5" s="40" t="s">
        <v>50</v>
      </c>
      <c r="C5" s="65"/>
      <c r="D5" s="14" t="str">
        <f>IFERROR(IF(C5=12,"✔ Correct!",IF(COUNTBLANK(C5)&lt;&gt;1,"❌ Wrong!","←")),"❌ Wrong!")</f>
        <v>←</v>
      </c>
      <c r="F5" s="40" t="s">
        <v>53</v>
      </c>
      <c r="G5" s="65"/>
      <c r="H5" s="14" t="str">
        <f>IFERROR(IF(G5=15,"✔ Correct!",IF(COUNTBLANK(G5)&lt;&gt;1,"❌ Wrong!","←")),"❌ Wrong!")</f>
        <v>←</v>
      </c>
    </row>
    <row r="6" spans="2:9" ht="19" thickBot="1">
      <c r="B6" s="44" t="s">
        <v>51</v>
      </c>
      <c r="C6" s="66"/>
      <c r="D6" s="14" t="str">
        <f>IFERROR(IF(C6=368,"✔ Correct!",IF(COUNTBLANK(C6)&lt;&gt;1,"❌ Wrong!","←")),"❌ Wrong!")</f>
        <v>←</v>
      </c>
      <c r="F6" s="44" t="s">
        <v>54</v>
      </c>
      <c r="G6" s="66"/>
      <c r="H6" s="14" t="str">
        <f>IFERROR(IF(G6=703,"✔ Correct!",IF(COUNTBLANK(G6)&lt;&gt;1,"❌ Wrong!","←")),"❌ Wrong!")</f>
        <v>←</v>
      </c>
    </row>
    <row r="8" spans="2:9" ht="19" thickBot="1"/>
    <row r="9" spans="2:9" ht="19" thickBot="1">
      <c r="B9" s="92" t="s">
        <v>55</v>
      </c>
      <c r="C9" s="93"/>
      <c r="D9" s="93"/>
      <c r="E9" s="93"/>
      <c r="F9" s="93"/>
      <c r="G9" s="93"/>
      <c r="H9" s="94"/>
    </row>
    <row r="10" spans="2:9" ht="19" thickBot="1"/>
    <row r="11" spans="2:9">
      <c r="B11" s="49" t="s">
        <v>49</v>
      </c>
      <c r="C11" s="64"/>
      <c r="D11" s="14" t="str">
        <f>IFERROR(IF(C11=15,"✔ Correct!",IF(COUNTBLANK(C11)&lt;&gt;1,"❌ Wrong!","←")),"❌ Wrong!")</f>
        <v>←</v>
      </c>
      <c r="F11" s="49" t="s">
        <v>52</v>
      </c>
      <c r="G11" s="64"/>
      <c r="H11" s="14" t="str">
        <f>IFERROR(IF(G11=4,"✔ Correct!",IF(COUNTBLANK(G11)&lt;&gt;1,"❌ Wrong!","←")),"❌ Wrong!")</f>
        <v>←</v>
      </c>
    </row>
    <row r="12" spans="2:9">
      <c r="B12" s="40" t="s">
        <v>50</v>
      </c>
      <c r="C12" s="65"/>
      <c r="D12" s="14" t="str">
        <f>IFERROR(IF(C12=23,"✔ Correct!",IF(COUNTBLANK(C12)&lt;&gt;1,"❌ Wrong!","←")),"❌ Wrong!")</f>
        <v>←</v>
      </c>
      <c r="F12" s="40" t="s">
        <v>53</v>
      </c>
      <c r="G12" s="65"/>
      <c r="H12" s="14" t="str">
        <f>IFERROR(IF(G12=9,"✔ Correct!",IF(COUNTBLANK(G12)&lt;&gt;1,"❌ Wrong!","←")),"❌ Wrong!")</f>
        <v>←</v>
      </c>
    </row>
    <row r="13" spans="2:9" ht="19" thickBot="1">
      <c r="B13" s="44" t="s">
        <v>51</v>
      </c>
      <c r="C13" s="66"/>
      <c r="D13" s="14" t="str">
        <f>IFERROR(IF(C13=453,"✔ Correct!",IF(COUNTBLANK(C13)&lt;&gt;1,"❌ Wrong!","←")),"❌ Wrong!")</f>
        <v>←</v>
      </c>
      <c r="F13" s="44" t="s">
        <v>54</v>
      </c>
      <c r="G13" s="66"/>
      <c r="H13" s="14" t="str">
        <f>IFERROR(IF(G13=1,"✔ Correct!",IF(COUNTBLANK(G13)&lt;&gt;1,"❌ Wrong!","←")),"❌ Wrong!")</f>
        <v>←</v>
      </c>
    </row>
  </sheetData>
  <sheetProtection sheet="1" objects="1" scenarios="1"/>
  <mergeCells count="2">
    <mergeCell ref="B2:H2"/>
    <mergeCell ref="B9:H9"/>
  </mergeCells>
  <conditionalFormatting sqref="D4:D6 H4:H6 D11:D13 H11:H13">
    <cfRule type="cellIs" dxfId="33" priority="1" operator="equal">
      <formula>"←"</formula>
    </cfRule>
    <cfRule type="cellIs" dxfId="32" priority="2" operator="equal">
      <formula>"❌ Wrong!"</formula>
    </cfRule>
    <cfRule type="cellIs" dxfId="31" priority="3" operator="equal">
      <formula>"✔ Correct!"</formula>
    </cfRule>
  </conditionalFormatting>
  <pageMargins left="0.7" right="0.7" top="0.75" bottom="0.75" header="0.3" footer="0.3"/>
  <pageSetup orientation="portrait" r:id="rId1"/>
  <headerFooter>
    <oddHeader>&amp;C&amp;G Creative Commons License: This work by Miriam Briskman is licensed under a Creative Commons Attribution-NonCommercial 4.0 International License.</oddHeader>
    <oddFooter>&amp;C&amp;G Creative Commons License: This work by Miriam Briskman is licensed under a Creative Commons Attribution-NonCommercial 4.0 International License.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31A9D-0169-4412-888C-3CBA088CB5B0}">
  <sheetPr>
    <pageSetUpPr autoPageBreaks="0"/>
  </sheetPr>
  <dimension ref="B1:S14"/>
  <sheetViews>
    <sheetView zoomScaleNormal="100" workbookViewId="0">
      <selection activeCell="B5" sqref="B5:D5"/>
    </sheetView>
  </sheetViews>
  <sheetFormatPr defaultColWidth="8.7265625" defaultRowHeight="18.5"/>
  <cols>
    <col min="1" max="1" width="8.81640625" style="9" customWidth="1"/>
    <col min="2" max="11" width="8.7265625" style="9"/>
    <col min="12" max="12" width="9.26953125" style="9" customWidth="1"/>
    <col min="13" max="14" width="8.7265625" style="9"/>
    <col min="15" max="15" width="8.81640625" style="9" customWidth="1"/>
    <col min="16" max="16384" width="8.7265625" style="9"/>
  </cols>
  <sheetData>
    <row r="1" spans="2:19" ht="19" thickBot="1"/>
    <row r="2" spans="2:19" ht="19" thickBot="1">
      <c r="B2" s="92" t="s">
        <v>66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4"/>
    </row>
    <row r="3" spans="2:19" ht="19" thickBot="1"/>
    <row r="4" spans="2:19" ht="19" thickBot="1">
      <c r="B4" s="92" t="s">
        <v>56</v>
      </c>
      <c r="C4" s="93"/>
      <c r="D4" s="94"/>
      <c r="F4" s="92" t="s">
        <v>60</v>
      </c>
      <c r="G4" s="93"/>
      <c r="H4" s="94"/>
      <c r="J4" s="92" t="s">
        <v>62</v>
      </c>
      <c r="K4" s="93"/>
      <c r="L4" s="94"/>
      <c r="N4" s="92" t="s">
        <v>70</v>
      </c>
      <c r="O4" s="93"/>
      <c r="P4" s="94"/>
    </row>
    <row r="5" spans="2:19" ht="19" thickBot="1">
      <c r="B5" s="103" t="s">
        <v>57</v>
      </c>
      <c r="C5" s="104"/>
      <c r="D5" s="105"/>
      <c r="E5" s="14" t="str">
        <f>IFERROR(IF(B5=FALSE,"✔",IF(AND(COUNTBLANK(B5)&lt;&gt;1,B5&lt;&gt;"=5&gt;6"),"❌","←")),"❌")</f>
        <v>←</v>
      </c>
      <c r="F5" s="103" t="s">
        <v>61</v>
      </c>
      <c r="G5" s="104"/>
      <c r="H5" s="105"/>
      <c r="I5" s="14" t="str">
        <f>IFERROR(IF(F5=TRUE,"✔",IF(AND(COUNTBLANK(F5)&lt;&gt;1,F5&lt;&gt;"=-2&lt;1"),"❌","←")),"❌")</f>
        <v>←</v>
      </c>
      <c r="J5" s="103" t="s">
        <v>63</v>
      </c>
      <c r="K5" s="104"/>
      <c r="L5" s="105"/>
      <c r="M5" s="14" t="str">
        <f>IFERROR(IF(J5=TRUE,"✔",IF(AND(COUNTBLANK(J5)&lt;&gt;1,J5&lt;&gt;"=6&lt;&gt;8"),"❌","←")),"❌")</f>
        <v>←</v>
      </c>
      <c r="N5" s="103" t="s">
        <v>64</v>
      </c>
      <c r="O5" s="104"/>
      <c r="P5" s="105"/>
      <c r="Q5" s="14" t="str">
        <f>IFERROR(IF(N5=FALSE,"✔",IF(AND(COUNTBLANK(N5)&lt;&gt;1,N5&lt;&gt;"=3&lt;=0"),"❌","←")),"❌")</f>
        <v>←</v>
      </c>
    </row>
    <row r="6" spans="2:19" ht="19" thickBot="1"/>
    <row r="7" spans="2:19" ht="19" thickBot="1">
      <c r="B7" s="92" t="s">
        <v>58</v>
      </c>
      <c r="C7" s="93"/>
      <c r="D7" s="93"/>
      <c r="E7" s="93"/>
      <c r="F7" s="93"/>
      <c r="G7" s="94"/>
      <c r="I7" s="92" t="s">
        <v>67</v>
      </c>
      <c r="J7" s="93"/>
      <c r="K7" s="93"/>
      <c r="L7" s="93"/>
      <c r="M7" s="93"/>
      <c r="N7" s="94"/>
    </row>
    <row r="8" spans="2:19" ht="19" thickBot="1">
      <c r="B8" s="103" t="s">
        <v>59</v>
      </c>
      <c r="C8" s="106"/>
      <c r="D8" s="106"/>
      <c r="E8" s="106"/>
      <c r="F8" s="106"/>
      <c r="G8" s="107"/>
      <c r="H8" s="14" t="str">
        <f>IFERROR(IF(B8="B","✔",IF(AND(COUNTBLANK(B8)&lt;&gt;1,B8&lt;&gt;"=IF(5&gt;6,""A"",""B"")"),"❌","←")),"❌")</f>
        <v>←</v>
      </c>
      <c r="I8" s="103" t="s">
        <v>65</v>
      </c>
      <c r="J8" s="106"/>
      <c r="K8" s="106"/>
      <c r="L8" s="106"/>
      <c r="M8" s="106"/>
      <c r="N8" s="107"/>
      <c r="O8" s="68" t="str">
        <f>IFERROR(IF(I8="C","✔",IF(AND(COUNTBLANK(I8)&lt;&gt;1,I8&lt;&gt;"=IF(-2&lt;1,""C"",""D"")"),"❌","←")),"❌")</f>
        <v>←</v>
      </c>
    </row>
    <row r="9" spans="2:19" ht="19" thickBot="1"/>
    <row r="10" spans="2:19" ht="19" thickBot="1">
      <c r="B10" s="92" t="s">
        <v>68</v>
      </c>
      <c r="C10" s="93"/>
      <c r="D10" s="93"/>
      <c r="E10" s="93"/>
      <c r="F10" s="93"/>
      <c r="G10" s="93"/>
      <c r="H10" s="93"/>
      <c r="I10" s="94"/>
      <c r="K10" s="92" t="s">
        <v>71</v>
      </c>
      <c r="L10" s="93"/>
      <c r="M10" s="93"/>
      <c r="N10" s="93"/>
      <c r="O10" s="93"/>
      <c r="P10" s="93"/>
      <c r="Q10" s="93"/>
      <c r="R10" s="94"/>
    </row>
    <row r="11" spans="2:19" ht="19" thickBot="1">
      <c r="B11" s="103" t="s">
        <v>69</v>
      </c>
      <c r="C11" s="108"/>
      <c r="D11" s="108"/>
      <c r="E11" s="108"/>
      <c r="F11" s="108"/>
      <c r="G11" s="108"/>
      <c r="H11" s="108"/>
      <c r="I11" s="109"/>
      <c r="J11" s="14" t="str">
        <f>IFERROR(IF(B11="B","✔",IF(AND(COUNTBLANK(B11)&lt;&gt;1,B11&lt;&gt;"=IF(6&lt;&gt;8,IF(5&gt;6,""A"",""B""),""E"")"),"❌","←")),"❌")</f>
        <v>←</v>
      </c>
      <c r="K11" s="103" t="s">
        <v>72</v>
      </c>
      <c r="L11" s="108"/>
      <c r="M11" s="108"/>
      <c r="N11" s="108"/>
      <c r="O11" s="108"/>
      <c r="P11" s="108"/>
      <c r="Q11" s="108"/>
      <c r="R11" s="109"/>
      <c r="S11" s="14" t="str">
        <f>IFERROR(IF(K11="C","✔",IF(AND(COUNTBLANK(K11)&lt;&gt;1,K11&lt;&gt;"=IF(3&lt;=0,""G"",IF(-2&lt;1,""C"",""D""))"),"❌","←")),"❌")</f>
        <v>←</v>
      </c>
    </row>
    <row r="12" spans="2:19" ht="19" thickBot="1"/>
    <row r="13" spans="2:19" ht="19" thickBot="1">
      <c r="B13" s="110" t="s">
        <v>73</v>
      </c>
      <c r="C13" s="111"/>
      <c r="D13" s="111"/>
      <c r="E13" s="111"/>
      <c r="F13" s="111"/>
      <c r="G13" s="111"/>
      <c r="H13" s="111"/>
      <c r="I13" s="111"/>
      <c r="J13" s="111"/>
      <c r="K13" s="112"/>
      <c r="L13" s="67"/>
    </row>
    <row r="14" spans="2:19" ht="19" thickBot="1">
      <c r="B14" s="103" t="s">
        <v>74</v>
      </c>
      <c r="C14" s="106"/>
      <c r="D14" s="106"/>
      <c r="E14" s="106"/>
      <c r="F14" s="106"/>
      <c r="G14" s="106"/>
      <c r="H14" s="106"/>
      <c r="I14" s="106"/>
      <c r="J14" s="106"/>
      <c r="K14" s="107"/>
      <c r="L14" s="14" t="str">
        <f>IFERROR(IF(B14="C","✔",IF(AND(COUNTBLANK(B14)&lt;&gt;1,B14&lt;&gt;"=IF(6&lt;&gt;8,IF(-2&lt;1,""C"",""D""),IF(5&gt;6,""A"",""B""))"),"❌","←")),"❌")</f>
        <v>←</v>
      </c>
    </row>
  </sheetData>
  <sheetProtection sheet="1" objects="1" scenarios="1"/>
  <mergeCells count="19">
    <mergeCell ref="K10:R10"/>
    <mergeCell ref="K11:R11"/>
    <mergeCell ref="B13:K13"/>
    <mergeCell ref="B14:K14"/>
    <mergeCell ref="B7:G7"/>
    <mergeCell ref="B8:G8"/>
    <mergeCell ref="B10:I10"/>
    <mergeCell ref="B11:I11"/>
    <mergeCell ref="N4:P4"/>
    <mergeCell ref="N5:P5"/>
    <mergeCell ref="I7:N7"/>
    <mergeCell ref="I8:N8"/>
    <mergeCell ref="B2:Q2"/>
    <mergeCell ref="B4:D4"/>
    <mergeCell ref="B5:D5"/>
    <mergeCell ref="F4:H4"/>
    <mergeCell ref="F5:H5"/>
    <mergeCell ref="J4:L4"/>
    <mergeCell ref="J5:L5"/>
  </mergeCells>
  <conditionalFormatting sqref="B5:D5 F5:H5 J5:L5 N5:P5">
    <cfRule type="cellIs" dxfId="30" priority="9" operator="between">
      <formula>FALSE</formula>
      <formula>TRUE</formula>
    </cfRule>
  </conditionalFormatting>
  <conditionalFormatting sqref="B8:G8">
    <cfRule type="cellIs" dxfId="29" priority="8" operator="equal">
      <formula>"B"</formula>
    </cfRule>
  </conditionalFormatting>
  <conditionalFormatting sqref="I8:N8">
    <cfRule type="cellIs" dxfId="28" priority="7" operator="equal">
      <formula>"C"</formula>
    </cfRule>
  </conditionalFormatting>
  <conditionalFormatting sqref="B11:I11">
    <cfRule type="cellIs" dxfId="27" priority="6" operator="equal">
      <formula>"B"</formula>
    </cfRule>
  </conditionalFormatting>
  <conditionalFormatting sqref="K11:R11">
    <cfRule type="cellIs" dxfId="26" priority="5" operator="equal">
      <formula>"C"</formula>
    </cfRule>
  </conditionalFormatting>
  <conditionalFormatting sqref="B14:K14">
    <cfRule type="cellIs" dxfId="25" priority="4" operator="equal">
      <formula>"C"</formula>
    </cfRule>
  </conditionalFormatting>
  <conditionalFormatting sqref="E5 I5 M5 Q5 H8 O8 S11 J11 L14">
    <cfRule type="cellIs" dxfId="24" priority="3" operator="equal">
      <formula>"✔"</formula>
    </cfRule>
  </conditionalFormatting>
  <conditionalFormatting sqref="E5 I5 M5 Q5 H8 O8 J11 S11 L14">
    <cfRule type="cellIs" dxfId="23" priority="2" operator="equal">
      <formula>"❌"</formula>
    </cfRule>
  </conditionalFormatting>
  <conditionalFormatting sqref="E5 I5 M5 Q5 O8 H8 J11 S11 L14">
    <cfRule type="cellIs" dxfId="22" priority="1" operator="equal">
      <formula>"←"</formula>
    </cfRule>
  </conditionalFormatting>
  <pageMargins left="0.7" right="0.7" top="0.75" bottom="0.75" header="0.3" footer="0.3"/>
  <pageSetup orientation="portrait" r:id="rId1"/>
  <headerFooter>
    <oddHeader>&amp;C&amp;G Creative Commons License: This work by Miriam Briskman is licensed under a Creative Commons Attribution-NonCommercial 4.0 International License.</oddHeader>
    <oddFooter>&amp;C&amp;G Creative Commons License: This work by Miriam Briskman is licensed under a Creative Commons Attribution-NonCommercial 4.0 International License.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9948-29F8-41BA-95EA-2BC8A1F808A3}">
  <sheetPr>
    <pageSetUpPr autoPageBreaks="0"/>
  </sheetPr>
  <dimension ref="B1:R14"/>
  <sheetViews>
    <sheetView zoomScaleNormal="100" workbookViewId="0">
      <selection activeCell="F9" sqref="F9:H9"/>
    </sheetView>
  </sheetViews>
  <sheetFormatPr defaultRowHeight="18.5"/>
  <cols>
    <col min="1" max="16384" width="8.7265625" style="9"/>
  </cols>
  <sheetData>
    <row r="1" spans="2:18" ht="19" thickBot="1"/>
    <row r="2" spans="2:18" ht="19" thickBot="1">
      <c r="B2" s="17"/>
      <c r="C2" s="17"/>
      <c r="D2" s="17"/>
      <c r="E2" s="17"/>
      <c r="F2" s="92" t="s">
        <v>75</v>
      </c>
      <c r="G2" s="93"/>
      <c r="H2" s="93"/>
      <c r="I2" s="93"/>
      <c r="J2" s="93"/>
      <c r="K2" s="93"/>
      <c r="L2" s="93"/>
      <c r="M2" s="93"/>
      <c r="N2" s="94"/>
      <c r="O2" s="17"/>
      <c r="P2" s="17"/>
      <c r="Q2" s="17"/>
    </row>
    <row r="3" spans="2:18" ht="19" thickBot="1"/>
    <row r="4" spans="2:18" ht="19" thickBot="1">
      <c r="B4" s="92" t="s">
        <v>56</v>
      </c>
      <c r="C4" s="93"/>
      <c r="D4" s="94"/>
      <c r="F4" s="92" t="s">
        <v>60</v>
      </c>
      <c r="G4" s="93"/>
      <c r="H4" s="94"/>
      <c r="J4" s="92" t="s">
        <v>62</v>
      </c>
      <c r="K4" s="93"/>
      <c r="L4" s="94"/>
      <c r="N4" s="92" t="s">
        <v>70</v>
      </c>
      <c r="O4" s="93"/>
      <c r="P4" s="94"/>
    </row>
    <row r="5" spans="2:18" ht="19" thickBot="1">
      <c r="B5" s="117" t="str">
        <f>'Nested IF'!B5</f>
        <v>=5&gt;6</v>
      </c>
      <c r="C5" s="118"/>
      <c r="D5" s="119"/>
      <c r="E5" s="14" t="str">
        <f>IFERROR(IF(B5=FALSE,"✔",IF(AND(COUNTBLANK(B5)&lt;&gt;1,B5&lt;&gt;"=5&gt;6"),"❌","")),"❌")</f>
        <v/>
      </c>
      <c r="F5" s="117" t="str">
        <f>'Nested IF'!F5</f>
        <v>=-2&lt;1</v>
      </c>
      <c r="G5" s="118"/>
      <c r="H5" s="119"/>
      <c r="I5" s="14" t="str">
        <f>IFERROR(IF(F5=TRUE,"✔",IF(AND(COUNTBLANK(F5)&lt;&gt;1,F5&lt;&gt;"=-2&lt;1"),"❌","")),"❌")</f>
        <v/>
      </c>
      <c r="J5" s="117" t="str">
        <f>'Nested IF'!J5</f>
        <v>=6&lt;&gt;8</v>
      </c>
      <c r="K5" s="118"/>
      <c r="L5" s="119"/>
      <c r="M5" s="14" t="str">
        <f>IFERROR(IF(J5=TRUE,"✔",IF(AND(COUNTBLANK(J5)&lt;&gt;1,J5&lt;&gt;"=6&lt;&gt;8"),"❌","")),"❌")</f>
        <v/>
      </c>
      <c r="N5" s="117" t="str">
        <f>'Nested IF'!N5</f>
        <v>=3&lt;=0</v>
      </c>
      <c r="O5" s="118"/>
      <c r="P5" s="119"/>
      <c r="Q5" s="14" t="str">
        <f>IFERROR(IF(N5=FALSE,"✔",IF(AND(COUNTBLANK(N5)&lt;&gt;1,N5&lt;&gt;"=3&lt;=0"),"❌","")),"❌")</f>
        <v/>
      </c>
    </row>
    <row r="6" spans="2:18" ht="19" thickBot="1"/>
    <row r="7" spans="2:18" ht="19" thickBot="1">
      <c r="D7" s="92" t="s">
        <v>76</v>
      </c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4"/>
    </row>
    <row r="8" spans="2:18" ht="19" thickBot="1"/>
    <row r="9" spans="2:18" ht="19" thickBot="1">
      <c r="B9" s="113" t="s">
        <v>83</v>
      </c>
      <c r="C9" s="93"/>
      <c r="D9" s="93"/>
      <c r="E9" s="94"/>
      <c r="F9" s="120"/>
      <c r="G9" s="121"/>
      <c r="H9" s="122"/>
      <c r="I9" s="17" t="str">
        <f>IFERROR(IF(AND(F9=FALSE,COUNTBLANK(F9)&lt;&gt;1),"✔",IF(COUNTBLANK(F9)&lt;&gt;1,"❌","←")),"❌")</f>
        <v>←</v>
      </c>
      <c r="K9" s="113" t="s">
        <v>89</v>
      </c>
      <c r="L9" s="93"/>
      <c r="M9" s="93"/>
      <c r="N9" s="94"/>
      <c r="O9" s="120"/>
      <c r="P9" s="121"/>
      <c r="Q9" s="122"/>
      <c r="R9" s="14" t="str">
        <f>IFERROR(IF(AND(O9=TRUE,COUNTBLANK(O9)&lt;&gt;1),"✔",IF(COUNTBLANK(O9)&lt;&gt;1,"❌","←")),"❌")</f>
        <v>←</v>
      </c>
    </row>
    <row r="10" spans="2:18" ht="19" thickBot="1">
      <c r="B10" s="113" t="s">
        <v>84</v>
      </c>
      <c r="C10" s="93"/>
      <c r="D10" s="93"/>
      <c r="E10" s="94"/>
      <c r="F10" s="123"/>
      <c r="G10" s="108"/>
      <c r="H10" s="109"/>
      <c r="I10" s="17" t="str">
        <f>IFERROR(IF(AND(F10=TRUE,COUNTBLANK(F10)&lt;&gt;1),"✔",IF(COUNTBLANK(F10)&lt;&gt;1,"❌","←")),"❌")</f>
        <v>←</v>
      </c>
      <c r="K10" s="113" t="s">
        <v>90</v>
      </c>
      <c r="L10" s="93"/>
      <c r="M10" s="93"/>
      <c r="N10" s="94"/>
      <c r="O10" s="123"/>
      <c r="P10" s="108"/>
      <c r="Q10" s="109"/>
      <c r="R10" s="14" t="str">
        <f>IFERROR(IF(AND(O10=TRUE,COUNTBLANK(O10)&lt;&gt;1),"✔",IF(COUNTBLANK(O10)&lt;&gt;1,"❌","←")),"❌")</f>
        <v>←</v>
      </c>
    </row>
    <row r="11" spans="2:18" ht="19" thickBot="1">
      <c r="B11" s="113" t="s">
        <v>85</v>
      </c>
      <c r="C11" s="93"/>
      <c r="D11" s="93"/>
      <c r="E11" s="94"/>
      <c r="F11" s="123"/>
      <c r="G11" s="108"/>
      <c r="H11" s="109"/>
      <c r="I11" s="17" t="str">
        <f>IFERROR(IF(AND(F11=FALSE,COUNTBLANK(F11)&lt;&gt;1),"✔",IF(COUNTBLANK(F11)&lt;&gt;1,"❌","←")),"❌")</f>
        <v>←</v>
      </c>
      <c r="K11" s="113" t="s">
        <v>91</v>
      </c>
      <c r="L11" s="93"/>
      <c r="M11" s="93"/>
      <c r="N11" s="94"/>
      <c r="O11" s="123"/>
      <c r="P11" s="108"/>
      <c r="Q11" s="109"/>
      <c r="R11" s="14" t="str">
        <f>IFERROR(IF(AND(O11=TRUE,COUNTBLANK(O11)&lt;&gt;1),"✔",IF(COUNTBLANK(O11)&lt;&gt;1,"❌","←")),"❌")</f>
        <v>←</v>
      </c>
    </row>
    <row r="12" spans="2:18" ht="19" thickBot="1">
      <c r="B12" s="113" t="s">
        <v>86</v>
      </c>
      <c r="C12" s="93"/>
      <c r="D12" s="93"/>
      <c r="E12" s="94"/>
      <c r="F12" s="123"/>
      <c r="G12" s="108"/>
      <c r="H12" s="109"/>
      <c r="I12" s="17" t="str">
        <f>IFERROR(IF(AND(F12=FALSE,COUNTBLANK(F12)&lt;&gt;1),"✔",IF(COUNTBLANK(F12)&lt;&gt;1,"❌","←")),"❌")</f>
        <v>←</v>
      </c>
      <c r="K12" s="113" t="s">
        <v>92</v>
      </c>
      <c r="L12" s="93"/>
      <c r="M12" s="93"/>
      <c r="N12" s="94"/>
      <c r="O12" s="123"/>
      <c r="P12" s="108"/>
      <c r="Q12" s="109"/>
      <c r="R12" s="14" t="str">
        <f>IFERROR(IF(AND(O12=FALSE,COUNTBLANK(O12)&lt;&gt;1),"✔",IF(COUNTBLANK(O12)&lt;&gt;1,"❌","←")),"❌")</f>
        <v>←</v>
      </c>
    </row>
    <row r="13" spans="2:18" ht="19" thickBot="1">
      <c r="B13" s="113" t="s">
        <v>87</v>
      </c>
      <c r="C13" s="93"/>
      <c r="D13" s="93"/>
      <c r="E13" s="94"/>
      <c r="F13" s="123"/>
      <c r="G13" s="108"/>
      <c r="H13" s="109"/>
      <c r="I13" s="17" t="str">
        <f>IFERROR(IF(AND(F13=FALSE,COUNTBLANK(F13)&lt;&gt;1),"✔",IF(COUNTBLANK(F13)&lt;&gt;1,"❌","←")),"❌")</f>
        <v>←</v>
      </c>
      <c r="K13" s="113" t="s">
        <v>93</v>
      </c>
      <c r="L13" s="93"/>
      <c r="M13" s="93"/>
      <c r="N13" s="94"/>
      <c r="O13" s="123"/>
      <c r="P13" s="108"/>
      <c r="Q13" s="109"/>
      <c r="R13" s="14" t="str">
        <f>IFERROR(IF(AND(O13=TRUE,COUNTBLANK(O13)&lt;&gt;1),"✔",IF(COUNTBLANK(O13)&lt;&gt;1,"❌","←")),"❌")</f>
        <v>←</v>
      </c>
    </row>
    <row r="14" spans="2:18" ht="19" thickBot="1">
      <c r="B14" s="114" t="s">
        <v>88</v>
      </c>
      <c r="C14" s="115"/>
      <c r="D14" s="115"/>
      <c r="E14" s="116"/>
      <c r="F14" s="123"/>
      <c r="G14" s="108"/>
      <c r="H14" s="109"/>
      <c r="I14" s="17" t="str">
        <f>IFERROR(IF(AND(F14=FALSE,COUNTBLANK(F14)&lt;&gt;1),"✔",IF(COUNTBLANK(F14)&lt;&gt;1,"❌","←")),"❌")</f>
        <v>←</v>
      </c>
      <c r="K14" s="114" t="s">
        <v>94</v>
      </c>
      <c r="L14" s="93"/>
      <c r="M14" s="93"/>
      <c r="N14" s="94"/>
      <c r="O14" s="123"/>
      <c r="P14" s="108"/>
      <c r="Q14" s="109"/>
      <c r="R14" s="14" t="str">
        <f>IFERROR(IF(AND(O14=TRUE,COUNTBLANK(O14)&lt;&gt;1),"✔",IF(COUNTBLANK(O14)&lt;&gt;1,"❌","←")),"❌")</f>
        <v>←</v>
      </c>
    </row>
  </sheetData>
  <sheetProtection sheet="1" objects="1" scenarios="1"/>
  <mergeCells count="34">
    <mergeCell ref="O13:Q13"/>
    <mergeCell ref="K14:N14"/>
    <mergeCell ref="O14:Q14"/>
    <mergeCell ref="O9:Q9"/>
    <mergeCell ref="K10:N10"/>
    <mergeCell ref="O10:Q10"/>
    <mergeCell ref="K11:N11"/>
    <mergeCell ref="O11:Q11"/>
    <mergeCell ref="K12:N12"/>
    <mergeCell ref="O12:Q12"/>
    <mergeCell ref="K9:N9"/>
    <mergeCell ref="K13:N13"/>
    <mergeCell ref="F14:H14"/>
    <mergeCell ref="F13:H13"/>
    <mergeCell ref="F12:H12"/>
    <mergeCell ref="F11:H11"/>
    <mergeCell ref="F10:H10"/>
    <mergeCell ref="F2:N2"/>
    <mergeCell ref="D7:P7"/>
    <mergeCell ref="B9:E9"/>
    <mergeCell ref="F9:H9"/>
    <mergeCell ref="B10:E10"/>
    <mergeCell ref="F4:H4"/>
    <mergeCell ref="J4:L4"/>
    <mergeCell ref="N4:P4"/>
    <mergeCell ref="F5:H5"/>
    <mergeCell ref="J5:L5"/>
    <mergeCell ref="N5:P5"/>
    <mergeCell ref="B11:E11"/>
    <mergeCell ref="B12:E12"/>
    <mergeCell ref="B13:E13"/>
    <mergeCell ref="B14:E14"/>
    <mergeCell ref="B4:D4"/>
    <mergeCell ref="B5:D5"/>
  </mergeCells>
  <conditionalFormatting sqref="B5:D5 F5:H5 J5:L5 N5:P5">
    <cfRule type="cellIs" dxfId="21" priority="8" operator="between">
      <formula>FALSE</formula>
      <formula>TRUE</formula>
    </cfRule>
  </conditionalFormatting>
  <conditionalFormatting sqref="E5 I5 M5 Q5">
    <cfRule type="cellIs" dxfId="20" priority="7" operator="equal">
      <formula>"✔"</formula>
    </cfRule>
  </conditionalFormatting>
  <conditionalFormatting sqref="E5 I5 M5 Q5">
    <cfRule type="cellIs" dxfId="19" priority="6" operator="equal">
      <formula>"❌"</formula>
    </cfRule>
  </conditionalFormatting>
  <conditionalFormatting sqref="F9:H14 O9:Q14">
    <cfRule type="cellIs" dxfId="18" priority="4" operator="equal">
      <formula>FALSE</formula>
    </cfRule>
    <cfRule type="cellIs" dxfId="17" priority="5" operator="equal">
      <formula>TRUE</formula>
    </cfRule>
  </conditionalFormatting>
  <conditionalFormatting sqref="I9:I14 R9:R14">
    <cfRule type="cellIs" dxfId="16" priority="1" operator="equal">
      <formula>"←"</formula>
    </cfRule>
    <cfRule type="cellIs" dxfId="15" priority="2" operator="equal">
      <formula>"❌"</formula>
    </cfRule>
    <cfRule type="cellIs" dxfId="14" priority="3" operator="equal">
      <formula>"✔"</formula>
    </cfRule>
  </conditionalFormatting>
  <pageMargins left="0.7" right="0.7" top="0.75" bottom="0.75" header="0.3" footer="0.3"/>
  <pageSetup orientation="portrait" r:id="rId1"/>
  <headerFooter>
    <oddHeader>&amp;C&amp;G Creative Commons License: This work by Miriam Briskman is licensed under a Creative Commons Attribution-NonCommercial 4.0 International License.</oddHeader>
    <oddFooter>&amp;C&amp;G Creative Commons License: This work by Miriam Briskman is licensed under a Creative Commons Attribution-NonCommercial 4.0 International License.</oddFooter>
  </headerFooter>
  <ignoredErrors>
    <ignoredError sqref="I10 R12" formula="1"/>
  </ignoredErrors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ED8EA-281E-452E-9C35-5C4AA0E4AB16}">
  <sheetPr>
    <pageSetUpPr autoPageBreaks="0"/>
  </sheetPr>
  <dimension ref="B1:Q10"/>
  <sheetViews>
    <sheetView zoomScaleNormal="100" workbookViewId="0">
      <selection activeCell="B7" sqref="B7:D7"/>
    </sheetView>
  </sheetViews>
  <sheetFormatPr defaultColWidth="8.26953125" defaultRowHeight="18.5"/>
  <cols>
    <col min="1" max="1" width="8.26953125" style="9"/>
    <col min="2" max="2" width="9.36328125" style="9" customWidth="1"/>
    <col min="3" max="3" width="9.453125" style="9" customWidth="1"/>
    <col min="4" max="4" width="9.81640625" style="9" customWidth="1"/>
    <col min="5" max="5" width="8.26953125" style="9"/>
    <col min="6" max="6" width="10" style="9" customWidth="1"/>
    <col min="7" max="7" width="9.36328125" style="9" customWidth="1"/>
    <col min="8" max="8" width="9" style="9" customWidth="1"/>
    <col min="9" max="9" width="8.26953125" style="9"/>
    <col min="10" max="10" width="9.54296875" style="9" customWidth="1"/>
    <col min="11" max="11" width="9.26953125" style="9" customWidth="1"/>
    <col min="12" max="12" width="8.90625" style="9" customWidth="1"/>
    <col min="13" max="13" width="8.26953125" style="9"/>
    <col min="14" max="14" width="9.1796875" style="9" customWidth="1"/>
    <col min="15" max="15" width="9.26953125" style="9" customWidth="1"/>
    <col min="16" max="16" width="9.54296875" style="9" customWidth="1"/>
    <col min="17" max="16384" width="8.26953125" style="9"/>
  </cols>
  <sheetData>
    <row r="1" spans="2:17" ht="19" thickBot="1"/>
    <row r="2" spans="2:17">
      <c r="B2" s="127" t="s">
        <v>77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9"/>
    </row>
    <row r="3" spans="2:17">
      <c r="B3" s="130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2"/>
    </row>
    <row r="4" spans="2:17" ht="19" thickBot="1">
      <c r="B4" s="133"/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5"/>
    </row>
    <row r="5" spans="2:17" ht="19" thickBot="1"/>
    <row r="6" spans="2:17" ht="19" thickBot="1">
      <c r="B6" s="92" t="s">
        <v>95</v>
      </c>
      <c r="C6" s="93"/>
      <c r="D6" s="94"/>
      <c r="E6" s="67"/>
      <c r="F6" s="92" t="s">
        <v>96</v>
      </c>
      <c r="G6" s="93"/>
      <c r="H6" s="94"/>
      <c r="J6" s="92" t="s">
        <v>97</v>
      </c>
      <c r="K6" s="93"/>
      <c r="L6" s="94"/>
      <c r="N6" s="92" t="s">
        <v>98</v>
      </c>
      <c r="O6" s="93"/>
      <c r="P6" s="94"/>
    </row>
    <row r="7" spans="2:17" ht="19" thickBot="1">
      <c r="B7" s="103" t="s">
        <v>78</v>
      </c>
      <c r="C7" s="104"/>
      <c r="D7" s="105"/>
      <c r="E7" s="14" t="str">
        <f>IFERROR(IF(AND(COUNTBLANK(B7)&lt;&gt;1,B7&lt;&gt;"=10/0"),"❌","←"),"✔")</f>
        <v>←</v>
      </c>
      <c r="F7" s="103" t="s">
        <v>79</v>
      </c>
      <c r="G7" s="104"/>
      <c r="H7" s="105"/>
      <c r="I7" s="14" t="str">
        <f>IFERROR(IF(F7=0.4,"✔",IF(AND(COUNTBLANK(F7)&lt;&gt;1,F7&lt;&gt;"=2/5"),"❌","←")),"❌")</f>
        <v>←</v>
      </c>
      <c r="J7" s="103" t="s">
        <v>80</v>
      </c>
      <c r="K7" s="104"/>
      <c r="L7" s="105"/>
      <c r="M7" s="14" t="str">
        <f>IFERROR(IF(J7=0,"✔",IF(AND(COUNTBLANK(J7)&lt;&gt;1,J7&lt;&gt;"=A1"),"❌","←")),"❌")</f>
        <v>←</v>
      </c>
      <c r="N7" s="103" t="s">
        <v>81</v>
      </c>
      <c r="O7" s="104"/>
      <c r="P7" s="105"/>
      <c r="Q7" s="14" t="str">
        <f>IFERROR(IF(AND(COUNTBLANK(N7)&lt;&gt;1,N7&lt;&gt;"=A0"),"❌","←"),"✔")</f>
        <v>←</v>
      </c>
    </row>
    <row r="8" spans="2:17" ht="19" thickBot="1"/>
    <row r="9" spans="2:17" ht="19" thickBot="1">
      <c r="B9" s="92" t="s">
        <v>82</v>
      </c>
      <c r="C9" s="93"/>
      <c r="D9" s="94"/>
      <c r="F9" s="92" t="s">
        <v>82</v>
      </c>
      <c r="G9" s="93"/>
      <c r="H9" s="94"/>
      <c r="J9" s="92" t="s">
        <v>82</v>
      </c>
      <c r="K9" s="93"/>
      <c r="L9" s="94"/>
      <c r="N9" s="92" t="s">
        <v>82</v>
      </c>
      <c r="O9" s="93"/>
      <c r="P9" s="94"/>
    </row>
    <row r="10" spans="2:17" ht="19" thickBot="1">
      <c r="B10" s="124" t="s">
        <v>102</v>
      </c>
      <c r="C10" s="125"/>
      <c r="D10" s="126"/>
      <c r="E10" s="14" t="str">
        <f>IFERROR(IF(B10="Error!","✔",IF(AND(COUNTBLANK(B10)&lt;&gt;1,B10&lt;&gt;"=IFERROR(10/0,""Error!"")"),"❌","←")),"❌")</f>
        <v>←</v>
      </c>
      <c r="F10" s="124" t="s">
        <v>99</v>
      </c>
      <c r="G10" s="125"/>
      <c r="H10" s="126"/>
      <c r="I10" s="14" t="str">
        <f>IFERROR(IF(F10=0.4,"✔",IF(AND(COUNTBLANK(F10)&lt;&gt;1,F10&lt;&gt;"=IFERROR(2/5,""Error!"")"),"❌","←")),"❌")</f>
        <v>←</v>
      </c>
      <c r="J10" s="124" t="s">
        <v>100</v>
      </c>
      <c r="K10" s="125"/>
      <c r="L10" s="126"/>
      <c r="M10" s="14" t="str">
        <f>IFERROR(IF(J10=0,"✔",IF(AND(COUNTBLANK(J10)&lt;&gt;1,J10&lt;&gt;"=IFERROR(A1,""Error!"")"),"❌","←")),"❌")</f>
        <v>←</v>
      </c>
      <c r="N10" s="124" t="s">
        <v>101</v>
      </c>
      <c r="O10" s="125"/>
      <c r="P10" s="126"/>
      <c r="Q10" s="14" t="str">
        <f>IFERROR(IF(N10="Error!","✔",IF(AND(COUNTBLANK(N10)&lt;&gt;1,N10&lt;&gt;"=IFERROR(A0,""Error!"")"),"❌","←")),"❌")</f>
        <v>←</v>
      </c>
    </row>
  </sheetData>
  <sheetProtection sheet="1" objects="1" scenarios="1"/>
  <mergeCells count="17">
    <mergeCell ref="B9:D9"/>
    <mergeCell ref="N10:P10"/>
    <mergeCell ref="J10:L10"/>
    <mergeCell ref="F10:H10"/>
    <mergeCell ref="B10:D10"/>
    <mergeCell ref="B2:Q4"/>
    <mergeCell ref="B6:D6"/>
    <mergeCell ref="B7:D7"/>
    <mergeCell ref="F7:H7"/>
    <mergeCell ref="F6:H6"/>
    <mergeCell ref="J7:L7"/>
    <mergeCell ref="J6:L6"/>
    <mergeCell ref="N6:P6"/>
    <mergeCell ref="N7:P7"/>
    <mergeCell ref="N9:P9"/>
    <mergeCell ref="J9:L9"/>
    <mergeCell ref="F9:H9"/>
  </mergeCells>
  <conditionalFormatting sqref="B7:D7">
    <cfRule type="expression" dxfId="13" priority="12">
      <formula>ISERROR(B7)=TRUE</formula>
    </cfRule>
  </conditionalFormatting>
  <conditionalFormatting sqref="F7:H7">
    <cfRule type="expression" dxfId="12" priority="11">
      <formula>(F7=0.4)</formula>
    </cfRule>
  </conditionalFormatting>
  <conditionalFormatting sqref="J7:L7">
    <cfRule type="expression" dxfId="11" priority="10">
      <formula>(J7=0)</formula>
    </cfRule>
  </conditionalFormatting>
  <conditionalFormatting sqref="N7:P7">
    <cfRule type="expression" dxfId="10" priority="9">
      <formula>ISERROR(N7)=TRUE</formula>
    </cfRule>
  </conditionalFormatting>
  <conditionalFormatting sqref="B10:D10">
    <cfRule type="cellIs" dxfId="9" priority="8" operator="equal">
      <formula>"Error!"</formula>
    </cfRule>
  </conditionalFormatting>
  <conditionalFormatting sqref="M10">
    <cfRule type="cellIs" dxfId="8" priority="7" operator="equal">
      <formula>"Error!"</formula>
    </cfRule>
  </conditionalFormatting>
  <conditionalFormatting sqref="F10">
    <cfRule type="cellIs" dxfId="7" priority="6" operator="equal">
      <formula>0.4</formula>
    </cfRule>
  </conditionalFormatting>
  <conditionalFormatting sqref="J10:L10">
    <cfRule type="cellIs" dxfId="6" priority="5" operator="equal">
      <formula>0</formula>
    </cfRule>
  </conditionalFormatting>
  <conditionalFormatting sqref="N10:P10">
    <cfRule type="cellIs" dxfId="5" priority="4" operator="equal">
      <formula>"Error!"</formula>
    </cfRule>
  </conditionalFormatting>
  <conditionalFormatting sqref="E7 I7 M7 Q7 Q10 M10 I10 E10">
    <cfRule type="cellIs" dxfId="4" priority="1" operator="equal">
      <formula>"←"</formula>
    </cfRule>
    <cfRule type="cellIs" dxfId="3" priority="2" operator="equal">
      <formula>"❌"</formula>
    </cfRule>
    <cfRule type="cellIs" dxfId="2" priority="3" operator="equal">
      <formula>"✔"</formula>
    </cfRule>
  </conditionalFormatting>
  <pageMargins left="0.7" right="0.7" top="0.75" bottom="0.75" header="0.3" footer="0.3"/>
  <pageSetup orientation="portrait" r:id="rId1"/>
  <headerFooter>
    <oddHeader>&amp;C&amp;G Creative Commons License: This work by Miriam Briskman is licensed under a Creative Commons Attribution-NonCommercial 4.0 International License.</oddHeader>
    <oddFooter>&amp;C&amp;G Creative Commons License: This work by Miriam Briskman is licensed under a Creative Commons Attribution-NonCommercial 4.0 International License.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2FA02-6E43-4D3A-BD81-469D39F7B2A6}">
  <sheetPr>
    <pageSetUpPr autoPageBreaks="0"/>
  </sheetPr>
  <dimension ref="B1:Q16"/>
  <sheetViews>
    <sheetView zoomScaleNormal="100" workbookViewId="0">
      <selection activeCell="I5" sqref="I5"/>
    </sheetView>
  </sheetViews>
  <sheetFormatPr defaultRowHeight="18.5"/>
  <cols>
    <col min="1" max="5" width="8.7265625" style="81"/>
    <col min="6" max="6" width="8.08984375" style="81" customWidth="1"/>
    <col min="7" max="7" width="29.6328125" style="81" bestFit="1" customWidth="1"/>
    <col min="8" max="8" width="21.26953125" style="81" bestFit="1" customWidth="1"/>
    <col min="9" max="9" width="17.453125" style="81" bestFit="1" customWidth="1"/>
    <col min="10" max="16384" width="8.7265625" style="81"/>
  </cols>
  <sheetData>
    <row r="1" spans="2:17" ht="19" thickBot="1"/>
    <row r="2" spans="2:17" ht="19" thickBot="1">
      <c r="B2" s="92" t="s">
        <v>107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4"/>
      <c r="N2" s="17"/>
      <c r="O2" s="17"/>
      <c r="P2" s="17"/>
      <c r="Q2" s="17"/>
    </row>
    <row r="3" spans="2:17" ht="19" thickBot="1"/>
    <row r="4" spans="2:17" ht="19" thickBot="1">
      <c r="B4" s="137" t="s">
        <v>104</v>
      </c>
      <c r="C4" s="137"/>
      <c r="D4" s="137"/>
      <c r="F4" s="74" t="s">
        <v>103</v>
      </c>
      <c r="G4" s="76" t="s">
        <v>108</v>
      </c>
      <c r="H4" s="76" t="s">
        <v>109</v>
      </c>
      <c r="I4" s="75" t="s">
        <v>110</v>
      </c>
    </row>
    <row r="5" spans="2:17" ht="18.5" customHeight="1">
      <c r="B5" s="136" t="s">
        <v>105</v>
      </c>
      <c r="C5" s="136"/>
      <c r="D5" s="136"/>
      <c r="F5" s="89">
        <v>0.03</v>
      </c>
      <c r="G5" s="90">
        <v>24</v>
      </c>
      <c r="H5" s="91">
        <v>10000</v>
      </c>
      <c r="I5" s="78"/>
      <c r="J5" s="70" t="str">
        <f>IFERROR(IF($I5=(PMT(F5/12,G5,-H5)),"✔",IF(COUNTBLANK($I5)&lt;&gt;1,"❌","←")),"❌")</f>
        <v>←</v>
      </c>
    </row>
    <row r="6" spans="2:17">
      <c r="B6" s="136"/>
      <c r="C6" s="136"/>
      <c r="D6" s="136"/>
      <c r="F6" s="86">
        <v>0.05</v>
      </c>
      <c r="G6" s="87">
        <v>180</v>
      </c>
      <c r="H6" s="88">
        <v>450000</v>
      </c>
      <c r="I6" s="79"/>
      <c r="J6" s="70" t="str">
        <f t="shared" ref="J6:J12" si="0">IFERROR(IF($I6=(PMT(F6/12,G6,-H6)),"✔",IF(COUNTBLANK($I6)&lt;&gt;1,"❌","←")),"❌")</f>
        <v>←</v>
      </c>
    </row>
    <row r="7" spans="2:17">
      <c r="B7" s="136"/>
      <c r="C7" s="136"/>
      <c r="D7" s="136"/>
      <c r="F7" s="86">
        <v>4.4999999999999998E-2</v>
      </c>
      <c r="G7" s="87">
        <v>360</v>
      </c>
      <c r="H7" s="88">
        <v>600000</v>
      </c>
      <c r="I7" s="79"/>
      <c r="J7" s="70" t="str">
        <f t="shared" si="0"/>
        <v>←</v>
      </c>
    </row>
    <row r="8" spans="2:17">
      <c r="B8" s="136"/>
      <c r="C8" s="136"/>
      <c r="D8" s="136"/>
      <c r="F8" s="86">
        <v>0.06</v>
      </c>
      <c r="G8" s="87">
        <v>12</v>
      </c>
      <c r="H8" s="88">
        <v>5000</v>
      </c>
      <c r="I8" s="79"/>
      <c r="J8" s="70" t="str">
        <f t="shared" si="0"/>
        <v>←</v>
      </c>
    </row>
    <row r="9" spans="2:17">
      <c r="B9" s="136"/>
      <c r="C9" s="136"/>
      <c r="D9" s="136"/>
      <c r="F9" s="86">
        <v>0.03</v>
      </c>
      <c r="G9" s="87">
        <v>36</v>
      </c>
      <c r="H9" s="88">
        <v>20000</v>
      </c>
      <c r="I9" s="79"/>
      <c r="J9" s="70" t="str">
        <f t="shared" si="0"/>
        <v>←</v>
      </c>
    </row>
    <row r="10" spans="2:17">
      <c r="B10" s="77"/>
      <c r="C10" s="77"/>
      <c r="D10" s="77"/>
      <c r="F10" s="86">
        <v>2.5000000000000001E-2</v>
      </c>
      <c r="G10" s="87">
        <v>60</v>
      </c>
      <c r="H10" s="88">
        <v>15000</v>
      </c>
      <c r="I10" s="79"/>
      <c r="J10" s="70" t="str">
        <f t="shared" si="0"/>
        <v>←</v>
      </c>
    </row>
    <row r="11" spans="2:17">
      <c r="B11" s="138" t="s">
        <v>106</v>
      </c>
      <c r="C11" s="138"/>
      <c r="D11" s="138"/>
      <c r="F11" s="86">
        <v>0.06</v>
      </c>
      <c r="G11" s="87">
        <v>180</v>
      </c>
      <c r="H11" s="88">
        <v>200000</v>
      </c>
      <c r="I11" s="79"/>
      <c r="J11" s="70" t="str">
        <f t="shared" si="0"/>
        <v>←</v>
      </c>
    </row>
    <row r="12" spans="2:17" ht="19" customHeight="1" thickBot="1">
      <c r="B12" s="136" t="s">
        <v>111</v>
      </c>
      <c r="C12" s="136"/>
      <c r="D12" s="136"/>
      <c r="F12" s="83">
        <v>0.05</v>
      </c>
      <c r="G12" s="84">
        <v>480</v>
      </c>
      <c r="H12" s="85">
        <v>100000</v>
      </c>
      <c r="I12" s="80"/>
      <c r="J12" s="70" t="str">
        <f t="shared" si="0"/>
        <v>←</v>
      </c>
    </row>
    <row r="13" spans="2:17">
      <c r="B13" s="136"/>
      <c r="C13" s="136"/>
      <c r="D13" s="136"/>
    </row>
    <row r="14" spans="2:17">
      <c r="B14" s="136"/>
      <c r="C14" s="136"/>
      <c r="D14" s="136"/>
    </row>
    <row r="15" spans="2:17">
      <c r="B15" s="136"/>
      <c r="C15" s="136"/>
      <c r="D15" s="136"/>
    </row>
    <row r="16" spans="2:17">
      <c r="B16" s="82"/>
      <c r="C16" s="82"/>
      <c r="D16" s="82"/>
    </row>
  </sheetData>
  <sheetProtection sheet="1" objects="1" scenarios="1"/>
  <mergeCells count="5">
    <mergeCell ref="B12:D15"/>
    <mergeCell ref="B4:D4"/>
    <mergeCell ref="B5:D9"/>
    <mergeCell ref="B2:M2"/>
    <mergeCell ref="B11:D11"/>
  </mergeCells>
  <conditionalFormatting sqref="J5:J12">
    <cfRule type="cellIs" dxfId="1" priority="2" operator="equal">
      <formula>"✔"</formula>
    </cfRule>
    <cfRule type="cellIs" dxfId="0" priority="1" operator="equal">
      <formula>"❌"</formula>
    </cfRule>
  </conditionalFormatting>
  <pageMargins left="0.7" right="0.7" top="0.75" bottom="0.75" header="0.3" footer="0.3"/>
  <pageSetup orientation="portrait" r:id="rId1"/>
  <headerFooter>
    <oddHeader>&amp;C&amp;G Creative Commons License: This work by Miriam Briskman is licensed under a Creative Commons Attribution-NonCommercial 4.0 International License.</oddHeader>
    <oddFooter>&amp;C&amp;G Creative Commons License: This work by Miriam Briskman is licensed under a Creative Commons Attribution-NonCommercial 4.0 International License.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V+H LOOKUP</vt:lpstr>
      <vt:lpstr>MATCH+INDEX</vt:lpstr>
      <vt:lpstr>COLUMN+ROW</vt:lpstr>
      <vt:lpstr>Nested IF</vt:lpstr>
      <vt:lpstr>AND+OR</vt:lpstr>
      <vt:lpstr>IFERROR</vt:lpstr>
      <vt:lpstr>PMT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Miriam Briskman</dc:creator>
  <cp:lastModifiedBy>Miriam Briskman</cp:lastModifiedBy>
  <dcterms:created xsi:type="dcterms:W3CDTF">2022-04-21T04:43:54Z</dcterms:created>
  <dcterms:modified xsi:type="dcterms:W3CDTF">2022-08-19T00:49:03Z</dcterms:modified>
</cp:coreProperties>
</file>